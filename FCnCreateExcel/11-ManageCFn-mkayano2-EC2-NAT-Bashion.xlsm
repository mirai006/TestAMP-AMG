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kayano2\Box\mkayano2\10業務\20211024Grafana-mkayano\"/>
    </mc:Choice>
  </mc:AlternateContent>
  <xr:revisionPtr revIDLastSave="0" documentId="13_ncr:1_{EE2B338F-CA1E-4803-ABEA-9B2352B4D0BB}" xr6:coauthVersionLast="47" xr6:coauthVersionMax="47" xr10:uidLastSave="{00000000-0000-0000-0000-000000000000}"/>
  <bookViews>
    <workbookView xWindow="-120" yWindow="-120" windowWidth="57840" windowHeight="32040" tabRatio="733" activeTab="1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Instance" sheetId="1189" r:id="rId5"/>
    <sheet name="SecurityGroupIngress" sheetId="1191" r:id="rId6"/>
    <sheet name="SecurityGroupEgress" sheetId="1190" r:id="rId7"/>
    <sheet name="Route" sheetId="119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3" i="1190" l="1"/>
  <c r="Y3" i="1190"/>
  <c r="X3" i="1190"/>
  <c r="W3" i="1190"/>
  <c r="V3" i="1190"/>
  <c r="AB3" i="1191"/>
  <c r="AA3" i="1191"/>
  <c r="Z3" i="1191"/>
  <c r="Y3" i="1191"/>
  <c r="X3" i="1191"/>
  <c r="W3" i="1191"/>
  <c r="V3" i="1191"/>
  <c r="V3" i="1189"/>
  <c r="X11" i="1192"/>
  <c r="W11" i="1192"/>
  <c r="V11" i="1192"/>
  <c r="Z2" i="1190" l="1"/>
  <c r="AB2" i="1191"/>
  <c r="X2" i="1192"/>
  <c r="W2" i="1192"/>
  <c r="B18" i="1192"/>
  <c r="B17" i="1192"/>
  <c r="B16" i="1192"/>
  <c r="B15" i="1192"/>
  <c r="B14" i="1192"/>
  <c r="B13" i="1192"/>
  <c r="B12" i="1192"/>
  <c r="B11" i="1192"/>
  <c r="B10" i="1192"/>
  <c r="B9" i="1192"/>
  <c r="B8" i="1192"/>
  <c r="B7" i="1192"/>
  <c r="B6" i="1192"/>
  <c r="B5" i="1192"/>
  <c r="B4" i="1192"/>
  <c r="B3" i="1192"/>
  <c r="V2" i="1192"/>
  <c r="Y2" i="1190" l="1"/>
  <c r="X2" i="1190"/>
  <c r="AA2" i="1191"/>
  <c r="Z2" i="1191"/>
  <c r="Y2" i="1191"/>
  <c r="X2" i="1191"/>
  <c r="B17" i="1191" l="1"/>
  <c r="B16" i="1191"/>
  <c r="B15" i="1191"/>
  <c r="B14" i="1191"/>
  <c r="B13" i="1191"/>
  <c r="B12" i="1191"/>
  <c r="B11" i="1191"/>
  <c r="B10" i="1191"/>
  <c r="B9" i="1191"/>
  <c r="B8" i="1191"/>
  <c r="B7" i="1191"/>
  <c r="B6" i="1191"/>
  <c r="B5" i="1191"/>
  <c r="B4" i="1191"/>
  <c r="B3" i="1191"/>
  <c r="W2" i="1191"/>
  <c r="V2" i="1191"/>
  <c r="B14" i="1190"/>
  <c r="B13" i="1190"/>
  <c r="B12" i="1190"/>
  <c r="B11" i="1190"/>
  <c r="B10" i="1190"/>
  <c r="B9" i="1190"/>
  <c r="B8" i="1190"/>
  <c r="B7" i="1190"/>
  <c r="B6" i="1190"/>
  <c r="B5" i="1190"/>
  <c r="B4" i="1190"/>
  <c r="B3" i="1190"/>
  <c r="W2" i="1190"/>
  <c r="V2" i="1190"/>
  <c r="B148" i="1189" l="1"/>
  <c r="B147" i="1189"/>
  <c r="V2" i="1189" l="1"/>
  <c r="B155" i="1189" l="1"/>
  <c r="B154" i="1189"/>
  <c r="B153" i="1189"/>
  <c r="B152" i="1189"/>
  <c r="B151" i="1189"/>
  <c r="B150" i="1189"/>
  <c r="B149" i="1189"/>
  <c r="B146" i="1189"/>
  <c r="B145" i="1189"/>
  <c r="B144" i="1189"/>
  <c r="B143" i="1189"/>
  <c r="B142" i="1189"/>
  <c r="B141" i="1189"/>
  <c r="B140" i="1189"/>
  <c r="B139" i="1189"/>
  <c r="B138" i="1189"/>
  <c r="B137" i="1189"/>
  <c r="B136" i="1189"/>
  <c r="B135" i="1189"/>
  <c r="B134" i="1189"/>
  <c r="B133" i="1189"/>
  <c r="B132" i="1189"/>
  <c r="B131" i="1189"/>
  <c r="B130" i="1189"/>
  <c r="B129" i="1189"/>
  <c r="B128" i="1189"/>
  <c r="B127" i="1189"/>
  <c r="B126" i="1189"/>
  <c r="B125" i="1189"/>
  <c r="B124" i="1189"/>
  <c r="B123" i="1189"/>
  <c r="B122" i="1189"/>
  <c r="B121" i="1189"/>
  <c r="B120" i="1189"/>
  <c r="B119" i="1189"/>
  <c r="B118" i="1189"/>
  <c r="B117" i="1189"/>
  <c r="B116" i="1189"/>
  <c r="B115" i="1189"/>
  <c r="B114" i="1189"/>
  <c r="B113" i="1189"/>
  <c r="B112" i="1189"/>
  <c r="B111" i="1189"/>
  <c r="B110" i="1189"/>
  <c r="B109" i="1189"/>
  <c r="B108" i="1189"/>
  <c r="B107" i="1189"/>
  <c r="B106" i="1189"/>
  <c r="B105" i="1189"/>
  <c r="B104" i="1189"/>
  <c r="B103" i="1189"/>
  <c r="B102" i="1189"/>
  <c r="B101" i="1189"/>
  <c r="B100" i="1189"/>
  <c r="B99" i="1189"/>
  <c r="B98" i="1189"/>
  <c r="B97" i="1189"/>
  <c r="B96" i="1189"/>
  <c r="B95" i="1189"/>
  <c r="B94" i="1189"/>
  <c r="B93" i="1189"/>
  <c r="B92" i="1189"/>
  <c r="B91" i="1189"/>
  <c r="B90" i="1189"/>
  <c r="B89" i="1189"/>
  <c r="B88" i="1189"/>
  <c r="B87" i="1189"/>
  <c r="B86" i="1189"/>
  <c r="B85" i="1189"/>
  <c r="B84" i="1189"/>
  <c r="B83" i="1189"/>
  <c r="B82" i="1189"/>
  <c r="B81" i="1189"/>
  <c r="B80" i="1189"/>
  <c r="B79" i="1189"/>
  <c r="B78" i="1189"/>
  <c r="B77" i="1189"/>
  <c r="B76" i="1189"/>
  <c r="B75" i="1189"/>
  <c r="B74" i="1189"/>
  <c r="B73" i="1189"/>
  <c r="B72" i="1189"/>
  <c r="B71" i="1189"/>
  <c r="B70" i="1189"/>
  <c r="B69" i="1189"/>
  <c r="B68" i="1189"/>
  <c r="B67" i="1189"/>
  <c r="B66" i="1189"/>
  <c r="B65" i="1189"/>
  <c r="B64" i="1189"/>
  <c r="B63" i="1189"/>
  <c r="B62" i="1189"/>
  <c r="B61" i="1189"/>
  <c r="B60" i="1189"/>
  <c r="B59" i="1189"/>
  <c r="B58" i="1189"/>
  <c r="B57" i="1189"/>
  <c r="B56" i="1189"/>
  <c r="B55" i="1189"/>
  <c r="B54" i="1189"/>
  <c r="B53" i="1189"/>
  <c r="B52" i="1189"/>
  <c r="B51" i="1189"/>
  <c r="B50" i="1189"/>
  <c r="B49" i="1189"/>
  <c r="B48" i="1189"/>
  <c r="B47" i="1189"/>
  <c r="B46" i="1189"/>
  <c r="B45" i="1189"/>
  <c r="B44" i="1189"/>
  <c r="B43" i="1189"/>
  <c r="B42" i="1189"/>
  <c r="B41" i="1189"/>
  <c r="B40" i="1189"/>
  <c r="B39" i="1189"/>
  <c r="B38" i="1189"/>
  <c r="B37" i="1189"/>
  <c r="B36" i="1189"/>
  <c r="B35" i="1189"/>
  <c r="B34" i="1189"/>
  <c r="B33" i="1189"/>
  <c r="B32" i="1189"/>
  <c r="B31" i="1189"/>
  <c r="B30" i="1189"/>
  <c r="B29" i="1189"/>
  <c r="B28" i="1189"/>
  <c r="B27" i="1189"/>
  <c r="B26" i="1189"/>
  <c r="B25" i="1189"/>
  <c r="B24" i="1189"/>
  <c r="B23" i="1189"/>
  <c r="B22" i="1189"/>
  <c r="B21" i="1189"/>
  <c r="B20" i="1189"/>
  <c r="B19" i="1189"/>
  <c r="B18" i="1189"/>
  <c r="B17" i="1189"/>
  <c r="B16" i="1189"/>
  <c r="B15" i="1189"/>
  <c r="B14" i="1189"/>
  <c r="B13" i="1189"/>
  <c r="B12" i="1189"/>
  <c r="B11" i="1189"/>
  <c r="B10" i="1189"/>
  <c r="B9" i="1189"/>
  <c r="B8" i="1189"/>
  <c r="B7" i="1189"/>
  <c r="B6" i="1189"/>
  <c r="B5" i="1189"/>
  <c r="B4" i="1189"/>
  <c r="B3" i="1189"/>
  <c r="N27" i="1" l="1"/>
  <c r="N28" i="1"/>
  <c r="N29" i="1"/>
  <c r="N35" i="1"/>
  <c r="N31" i="1"/>
  <c r="N32" i="1"/>
  <c r="N33" i="1"/>
  <c r="N34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39" i="1" l="1"/>
  <c r="R137" i="1"/>
  <c r="U108" i="1"/>
  <c r="U106" i="1"/>
  <c r="S92" i="1"/>
  <c r="U88" i="1"/>
  <c r="U86" i="1"/>
  <c r="S72" i="1"/>
  <c r="S47" i="1"/>
  <c r="S45" i="1"/>
</calcChain>
</file>

<file path=xl/sharedStrings.xml><?xml version="1.0" encoding="utf-8"?>
<sst xmlns="http://schemas.openxmlformats.org/spreadsheetml/2006/main" count="981" uniqueCount="322">
  <si>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</si>
  <si>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</si>
  <si>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</si>
  <si>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</si>
  <si>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</si>
  <si>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</si>
  <si>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</si>
  <si>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</si>
  <si>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</si>
  <si>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</si>
  <si>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</si>
  <si>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</si>
  <si>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</si>
  <si>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</si>
  <si>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</si>
  <si>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</si>
  <si>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</si>
  <si>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</si>
  <si>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</si>
  <si>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</si>
  <si>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</si>
  <si>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</si>
  <si>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</si>
  <si>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</si>
  <si>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</si>
  <si>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</si>
  <si>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</si>
  <si>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</si>
  <si>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</si>
  <si>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</si>
  <si>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</si>
  <si>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</si>
  <si>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</si>
  <si>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</si>
  <si>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</si>
  <si>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</si>
  <si>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</si>
  <si>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</si>
  <si>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</si>
  <si>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</si>
  <si>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</si>
  <si>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</si>
  <si>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</si>
  <si>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</si>
  <si>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</si>
  <si>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</si>
  <si>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</si>
  <si>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</si>
  <si>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</si>
  <si>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</si>
  <si>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</si>
  <si>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</si>
  <si>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</si>
  <si>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</si>
  <si>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</si>
  <si>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</si>
  <si>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</si>
  <si>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</si>
  <si>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</si>
  <si>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</si>
  <si>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</si>
  <si>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</si>
  <si>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</si>
  <si>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</si>
  <si>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</si>
  <si>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</si>
  <si>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</si>
  <si>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</si>
  <si>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</si>
  <si>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</si>
  <si>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</si>
  <si>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</si>
  <si>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</si>
  <si>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</si>
  <si>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</si>
  <si>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</si>
  <si>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</si>
  <si>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</si>
  <si>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</si>
  <si>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</si>
  <si>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</si>
  <si>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</si>
  <si>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</si>
  <si>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</si>
  <si>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</si>
  <si>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</si>
  <si>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</si>
  <si>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</si>
  <si>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CFn Json Path</t>
    <phoneticPr fontId="1"/>
  </si>
  <si>
    <t>Max_Indent</t>
    <phoneticPr fontId="1"/>
  </si>
  <si>
    <t>DeletionPolicy: Delete</t>
    <phoneticPr fontId="1"/>
  </si>
  <si>
    <t>Resources:</t>
    <phoneticPr fontId="1"/>
  </si>
  <si>
    <t xml:space="preserve">AppSyncGraphQLApiSpecification.json  </t>
  </si>
  <si>
    <t xml:space="preserve">CloudWatchInsightRuleSpecification.json                             </t>
  </si>
  <si>
    <t xml:space="preserve">CodeBuildProjectSpecification.json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</si>
  <si>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</si>
  <si>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</si>
  <si>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</si>
  <si>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</si>
  <si>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</si>
  <si>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</si>
  <si>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</si>
  <si>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</si>
  <si>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</si>
  <si>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</si>
  <si>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</si>
  <si>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</si>
  <si>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</si>
  <si>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</si>
  <si>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</si>
  <si>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</si>
  <si>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</si>
  <si>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</si>
  <si>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ResouceType</t>
    <phoneticPr fontId="1"/>
  </si>
  <si>
    <t>ResouceName</t>
    <phoneticPr fontId="1"/>
  </si>
  <si>
    <t xml:space="preserve">EC2VPCSpecification.json </t>
  </si>
  <si>
    <t>EC2InternetGatewaySpecification.json</t>
  </si>
  <si>
    <t xml:space="preserve">EC2VPCGatewayAttachmentSpecification.json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</si>
  <si>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</si>
  <si>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</si>
  <si>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</si>
  <si>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</si>
  <si>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</si>
  <si>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</si>
  <si>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</si>
  <si>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</si>
  <si>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</si>
  <si>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</si>
  <si>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</si>
  <si>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</si>
  <si>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</si>
  <si>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</si>
  <si>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</si>
  <si>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</si>
  <si>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Function2</t>
    <phoneticPr fontId="1"/>
  </si>
  <si>
    <t>Function3</t>
    <phoneticPr fontId="1"/>
  </si>
  <si>
    <t xml:space="preserve">DeletionPolicy: </t>
    <phoneticPr fontId="1"/>
  </si>
  <si>
    <t>CFn ResourceSpecificationVersion</t>
    <phoneticPr fontId="1"/>
  </si>
  <si>
    <t>Tag以降で文字列に!Refに置き換えられるパターンがある。</t>
    <rPh sb="3" eb="5">
      <t>イコウ</t>
    </rPh>
    <rPh sb="6" eb="9">
      <t>モジレツ</t>
    </rPh>
    <rPh sb="15" eb="16">
      <t>オ</t>
    </rPh>
    <rPh sb="17" eb="18">
      <t>カ</t>
    </rPh>
    <phoneticPr fontId="1"/>
  </si>
  <si>
    <t>CFn</t>
  </si>
  <si>
    <t>Name:</t>
  </si>
  <si>
    <t>String</t>
  </si>
  <si>
    <t>Resource Name</t>
  </si>
  <si>
    <t/>
  </si>
  <si>
    <t>Link</t>
  </si>
  <si>
    <t>Boolean</t>
  </si>
  <si>
    <t xml:space="preserve">- </t>
  </si>
  <si>
    <t xml:space="preserve">Key: </t>
  </si>
  <si>
    <t>No</t>
  </si>
  <si>
    <t>Resources</t>
  </si>
  <si>
    <t>Type</t>
  </si>
  <si>
    <t>Remarks</t>
  </si>
  <si>
    <t>Integer</t>
  </si>
  <si>
    <t xml:space="preserve">AvailabilityZone: </t>
  </si>
  <si>
    <t xml:space="preserve">NetworkInterfaceId: </t>
  </si>
  <si>
    <t xml:space="preserve">SubnetId: </t>
  </si>
  <si>
    <t xml:space="preserve">Description: </t>
  </si>
  <si>
    <t xml:space="preserve">Type: </t>
  </si>
  <si>
    <t xml:space="preserve">AdditionalInfo: </t>
  </si>
  <si>
    <t xml:space="preserve">Affinity: </t>
  </si>
  <si>
    <t xml:space="preserve">DeviceName: </t>
  </si>
  <si>
    <t xml:space="preserve">DeleteOnTermination: </t>
  </si>
  <si>
    <t xml:space="preserve">Encrypted: </t>
  </si>
  <si>
    <t xml:space="preserve">Iops: </t>
  </si>
  <si>
    <t xml:space="preserve">KmsKeyId: </t>
  </si>
  <si>
    <t xml:space="preserve">SnapshotId: </t>
  </si>
  <si>
    <t xml:space="preserve">VolumeSize: </t>
  </si>
  <si>
    <t xml:space="preserve">VolumeType: </t>
  </si>
  <si>
    <t xml:space="preserve">NoDevice: </t>
  </si>
  <si>
    <t xml:space="preserve">VirtualName: </t>
  </si>
  <si>
    <t xml:space="preserve">CoreCount: </t>
  </si>
  <si>
    <t xml:space="preserve">ThreadsPerCore: </t>
  </si>
  <si>
    <t xml:space="preserve">CPUCredits: </t>
  </si>
  <si>
    <t xml:space="preserve">DisableApiTermination: </t>
  </si>
  <si>
    <t xml:space="preserve">EbsOptimized: </t>
  </si>
  <si>
    <t xml:space="preserve">Count: </t>
  </si>
  <si>
    <t xml:space="preserve">Configured: </t>
  </si>
  <si>
    <t xml:space="preserve">HostId: </t>
  </si>
  <si>
    <t xml:space="preserve">HostResourceGroupArn: </t>
  </si>
  <si>
    <t xml:space="preserve">IamInstanceProfile: </t>
  </si>
  <si>
    <t xml:space="preserve">ImageId: </t>
  </si>
  <si>
    <t xml:space="preserve">InstanceInitiatedShutdownBehavior: </t>
  </si>
  <si>
    <t xml:space="preserve">InstanceType: </t>
  </si>
  <si>
    <t xml:space="preserve">Ipv6AddressCount: </t>
  </si>
  <si>
    <t xml:space="preserve">Ipv6Address: </t>
  </si>
  <si>
    <t xml:space="preserve">KernelId: </t>
  </si>
  <si>
    <t xml:space="preserve">KeyName: </t>
  </si>
  <si>
    <t xml:space="preserve">LaunchTemplateId: </t>
  </si>
  <si>
    <t xml:space="preserve">LaunchTemplateName: </t>
  </si>
  <si>
    <t xml:space="preserve">Version: </t>
  </si>
  <si>
    <t xml:space="preserve">LicenseConfigurationArn: </t>
  </si>
  <si>
    <t xml:space="preserve">Monitoring: </t>
  </si>
  <si>
    <t xml:space="preserve">AssociatePublicIpAddress: </t>
  </si>
  <si>
    <t xml:space="preserve">DeviceIndex: </t>
  </si>
  <si>
    <t xml:space="preserve">PrivateIpAddress: </t>
  </si>
  <si>
    <t xml:space="preserve">Primary: </t>
  </si>
  <si>
    <t xml:space="preserve">SecondaryPrivateIpAddressCount: </t>
  </si>
  <si>
    <t xml:space="preserve">PlacementGroupName: </t>
  </si>
  <si>
    <t xml:space="preserve">RamdiskId: </t>
  </si>
  <si>
    <t xml:space="preserve">SourceDestCheck: </t>
  </si>
  <si>
    <t xml:space="preserve">AssociationParameters: </t>
  </si>
  <si>
    <t xml:space="preserve">DocumentName: </t>
  </si>
  <si>
    <t xml:space="preserve">Tenancy: </t>
  </si>
  <si>
    <t xml:space="preserve">UserData: </t>
  </si>
  <si>
    <t xml:space="preserve">Device: </t>
  </si>
  <si>
    <t xml:space="preserve">VolumeId: </t>
  </si>
  <si>
    <t>EC2InstanceSpecification.json</t>
  </si>
  <si>
    <t>EC2SecurityGroupIngressSpecification.json</t>
  </si>
  <si>
    <t>EC2SecurityGroupEgressSpecification.json</t>
  </si>
  <si>
    <t>EC2DHCPOptionsSpecification.json</t>
  </si>
  <si>
    <t>EC2VPCDHCPOptionsAssociationSpecification.json</t>
  </si>
  <si>
    <t>EC2VPCEndpointSpecification.json</t>
  </si>
  <si>
    <t>IAMRoleSpecification.json</t>
  </si>
  <si>
    <t>IAMInstanceProfileSpecification.json</t>
  </si>
  <si>
    <t>IAMManagedPolicySpecification.json</t>
  </si>
  <si>
    <t xml:space="preserve">EnclaveOptions: </t>
  </si>
  <si>
    <t xml:space="preserve">Enabled: </t>
  </si>
  <si>
    <t>Availability Zone 1</t>
    <phoneticPr fontId="1"/>
  </si>
  <si>
    <t>Availability Zone 2</t>
  </si>
  <si>
    <t>VPC CIDR</t>
    <phoneticPr fontId="1"/>
  </si>
  <si>
    <t>Private Subnet01 CIDR</t>
    <phoneticPr fontId="1"/>
  </si>
  <si>
    <t>Public Subnet01 CIDR</t>
    <phoneticPr fontId="1"/>
  </si>
  <si>
    <t>Availability Zone 3</t>
    <phoneticPr fontId="1"/>
  </si>
  <si>
    <t>Private Subnet02 CIDR</t>
    <phoneticPr fontId="1"/>
  </si>
  <si>
    <t>Private Subnet03 CIDR</t>
    <phoneticPr fontId="1"/>
  </si>
  <si>
    <t>Public Subnet02 CIDR</t>
    <phoneticPr fontId="1"/>
  </si>
  <si>
    <t>Public Subnet03 CIDR</t>
    <phoneticPr fontId="1"/>
  </si>
  <si>
    <t>31.2.0</t>
    <phoneticPr fontId="1"/>
  </si>
  <si>
    <t>true</t>
  </si>
  <si>
    <t>true</t>
    <phoneticPr fontId="1"/>
  </si>
  <si>
    <t>default</t>
    <phoneticPr fontId="1"/>
  </si>
  <si>
    <t>192.168.0.32/27</t>
  </si>
  <si>
    <t>192.168.0.64/27</t>
  </si>
  <si>
    <t>192.168.0.128/27</t>
  </si>
  <si>
    <t>192.168.0.160/27</t>
  </si>
  <si>
    <t>192.168.0.192/27</t>
  </si>
  <si>
    <t>stop</t>
    <phoneticPr fontId="1"/>
  </si>
  <si>
    <t xml:space="preserve"> AWS::EC2::VPC</t>
  </si>
  <si>
    <t xml:space="preserve"> AWS::EC2::InternetGateway</t>
  </si>
  <si>
    <t xml:space="preserve"> AWS::EC2::DHCPOptions</t>
  </si>
  <si>
    <t xml:space="preserve"> AWS::EC2::Subnet</t>
  </si>
  <si>
    <t xml:space="preserve"> AWS::EC2::RouteTable</t>
  </si>
  <si>
    <t xml:space="preserve"> AWS::EC2::NetworkAcl</t>
  </si>
  <si>
    <t xml:space="preserve"> AWS::EC2::SecurityGroup</t>
  </si>
  <si>
    <t xml:space="preserve"> AWS::EC2::Instance</t>
  </si>
  <si>
    <t>ap-south-1</t>
    <phoneticPr fontId="1"/>
  </si>
  <si>
    <t>ap-south-1a</t>
    <phoneticPr fontId="1"/>
  </si>
  <si>
    <t>ap-south-1b</t>
    <phoneticPr fontId="1"/>
  </si>
  <si>
    <t>ap-south-1c</t>
    <phoneticPr fontId="1"/>
  </si>
  <si>
    <t>192.168.0.0/24</t>
    <phoneticPr fontId="1"/>
  </si>
  <si>
    <t>192.168.0.0/27</t>
    <phoneticPr fontId="1"/>
  </si>
  <si>
    <t>不要</t>
    <rPh sb="0" eb="2">
      <t>フヨウ</t>
    </rPh>
    <phoneticPr fontId="1"/>
  </si>
  <si>
    <t>gp3</t>
    <phoneticPr fontId="1"/>
  </si>
  <si>
    <t>%USERPROFILE%\Box\mkayano2\10業務\20211007Grafana</t>
    <phoneticPr fontId="1"/>
  </si>
  <si>
    <t>/dev/xvda</t>
  </si>
  <si>
    <t>mkayano2</t>
    <phoneticPr fontId="1"/>
  </si>
  <si>
    <t>Type: AWS::EC2::SecurityGroupEgress</t>
  </si>
  <si>
    <t xml:space="preserve">CidrIp: </t>
  </si>
  <si>
    <t>0.0.0.0/0</t>
    <phoneticPr fontId="1"/>
  </si>
  <si>
    <t xml:space="preserve">CidrIpv6: </t>
  </si>
  <si>
    <t xml:space="preserve">DestinationPrefixListId: </t>
  </si>
  <si>
    <t xml:space="preserve">DestinationSecurityGroupId: </t>
  </si>
  <si>
    <t xml:space="preserve">FromPort: </t>
  </si>
  <si>
    <t xml:space="preserve">GroupId: </t>
  </si>
  <si>
    <t xml:space="preserve">IpProtocol: </t>
  </si>
  <si>
    <t xml:space="preserve">ToPort: </t>
  </si>
  <si>
    <t>Type: AWS::EC2::SecurityGroupIngress</t>
  </si>
  <si>
    <t>39.110.201.243/32</t>
    <phoneticPr fontId="1"/>
  </si>
  <si>
    <t>202.233.46.58/32</t>
    <phoneticPr fontId="1"/>
  </si>
  <si>
    <t>122.216.200.130/32</t>
    <phoneticPr fontId="1"/>
  </si>
  <si>
    <t>113.43.214.178/32</t>
    <phoneticPr fontId="1"/>
  </si>
  <si>
    <t xml:space="preserve">GroupName: </t>
  </si>
  <si>
    <t>TCP</t>
    <phoneticPr fontId="1"/>
  </si>
  <si>
    <t xml:space="preserve">SourcePrefixListId: </t>
  </si>
  <si>
    <t xml:space="preserve">SourceSecurityGroupId: </t>
  </si>
  <si>
    <t xml:space="preserve">SourceSecurityGroupName: </t>
  </si>
  <si>
    <t xml:space="preserve">SourceSecurityGroupOwnerId: </t>
  </si>
  <si>
    <t>0.0.0.0/0</t>
  </si>
  <si>
    <t>mkayano2-SecurityGroup-prometheus</t>
  </si>
  <si>
    <t>mkayano2-SecurityGroup-prometheus</t>
    <phoneticPr fontId="1"/>
  </si>
  <si>
    <t>ami-076209132bc69adb0</t>
  </si>
  <si>
    <t>t3.nano</t>
    <phoneticPr fontId="1"/>
  </si>
  <si>
    <t>mkayano2-20211024-tokyo</t>
  </si>
  <si>
    <t>standard</t>
  </si>
  <si>
    <t>192.168.0.132</t>
    <phoneticPr fontId="1"/>
  </si>
  <si>
    <t>Type: AWS::EC2::Route</t>
  </si>
  <si>
    <t xml:space="preserve">CarrierGatewayId: </t>
  </si>
  <si>
    <t xml:space="preserve">DestinationCidrBlock: </t>
  </si>
  <si>
    <t xml:space="preserve">DestinationIpv6CidrBlock: </t>
  </si>
  <si>
    <t xml:space="preserve">EgressOnlyInternetGatewayId: </t>
  </si>
  <si>
    <t xml:space="preserve">GatewayId: </t>
  </si>
  <si>
    <t xml:space="preserve">InstanceId: </t>
  </si>
  <si>
    <t xml:space="preserve">LocalGatewayId: </t>
  </si>
  <si>
    <t xml:space="preserve">NatGatewayId: </t>
  </si>
  <si>
    <t xml:space="preserve">RouteTableId: </t>
  </si>
  <si>
    <t xml:space="preserve">TransitGatewayId: </t>
  </si>
  <si>
    <t xml:space="preserve">VpcEndpointId: </t>
  </si>
  <si>
    <t xml:space="preserve">VpcPeeringConnectionId: </t>
  </si>
  <si>
    <t>mkayano2-RouteTable-Private01</t>
  </si>
  <si>
    <t>mkayano2-RouteTable-Private02</t>
  </si>
  <si>
    <t>mkayano2-RouteTable-Private03</t>
  </si>
  <si>
    <t>mkayano2-Route11</t>
    <phoneticPr fontId="1"/>
  </si>
  <si>
    <t>mkayano2-Route12</t>
    <phoneticPr fontId="1"/>
  </si>
  <si>
    <t>mkayano2-Route13</t>
    <phoneticPr fontId="1"/>
  </si>
  <si>
    <t>mkayano2-Subnet-Public01</t>
  </si>
  <si>
    <t>mkayano2-SecurityGroup-nat-bastion</t>
  </si>
  <si>
    <t>mkayano2-VPC</t>
  </si>
  <si>
    <t>mkayano2-InternetGateway</t>
  </si>
  <si>
    <t>mkayano2-DHCPOptions</t>
  </si>
  <si>
    <t>mkayano2-Subnet-Private01</t>
  </si>
  <si>
    <t>mkayano2-Subnet-Private02</t>
  </si>
  <si>
    <t>mkayano2-Subnet-Private03</t>
  </si>
  <si>
    <t>mkayano2-Subnet-Public02</t>
  </si>
  <si>
    <t>mkayano2-Subnet-Public03</t>
  </si>
  <si>
    <t>mkayano2-RouteTable-Public</t>
  </si>
  <si>
    <t>mkayano2-NetworkAcl</t>
  </si>
  <si>
    <t>mkayano2-SecurityGroup-AMP-Endpoint</t>
  </si>
  <si>
    <t>mkayano2-ec2-nat-basion</t>
  </si>
  <si>
    <t>mkayano2-SecurityGroup-nat-bastion</t>
    <phoneticPr fontId="1"/>
  </si>
  <si>
    <t>mkayano2-ec2-prometheus</t>
  </si>
  <si>
    <t>false</t>
    <phoneticPr fontId="1"/>
  </si>
  <si>
    <t xml:space="preserve">
        Fn::Base64: |
          #!/bin/bash
          sudo su -
          yum update -y
          ## node_exporter install
          cd /tmp
          curl -LO https://github.com/prometheus/node_exporter/releases/download/v1.2.2/node_exporter-1.2.2.linux-amd64.tar.gz
          tar xvzf node_exporter-1.2.2.linux-amd64.tar.gz 
          rm -f node_exporter-1.2.2.linux-amd64.tar.gz 
          mv -f node_exporter-1.2.2.linux-amd64.tar.gz  /etc/node_exporter
          #node_exproter boot parameters
          echo '#!/bin/bash'  &gt; /etc/rc.d/init.d/node_exporter
          echo '#'  &gt;&gt; /etc/rc.d/init.d/node_exporter
          echo '# /etc/rc.d/init.d/node_exporter'  &gt;&gt; /etc/rc.d/init.d/node_exporter
          echo '#'  &gt;&gt; /etc/rc.d/init.d/node_exporter
          echo '#  chkconfig: 2345 20 80 Read'  &gt;&gt; /etc/rc.d/init.d/node_exporter
          echo '#  description: Prometheus node_exporter'  &gt;&gt; /etc/rc.d/init.d/node_exporter
          echo '#  processname: node_exporter'  &gt;&gt; /etc/rc.d/init.d/node_exporter
          echo ''  &gt;&gt; /etc/rc.d/init.d/node_exporter
          echo '# Source function library.'  &gt;&gt; /etc/rc.d/init.d/node_exporter
          echo '. /etc/rc.d/init.d/functions'  &gt;&gt; /etc/rc.d/init.d/node_exporter
          echo ''  &gt;&gt; /etc/rc.d/init.d/node_exporter
          echo 'PROGNAME=node_exporter'  &gt;&gt; /etc/rc.d/init.d/node_exporter
          echo 'PROG=/etc/node_exporter/$PROGNAME'  &gt;&gt; /etc/rc.d/init.d/node_exporter
          echo 'USER=root'  &gt;&gt; /etc/rc.d/init.d/node_exporter
          echo 'LOGFILE=/var/log/node_exporter/node_exporter.log'  &gt;&gt; /etc/rc.d/init.d/node_exporter
          echo 'LOGLEVEL=info'  &gt;&gt; /etc/rc.d/init.d/node_exporter
          echo 'LOCKFILE=/var/run/$PROGNAME.pid'  &gt;&gt; /etc/rc.d/init.d/node_exporter
          echo ''  &gt;&gt; /etc/rc.d/init.d/node_exporter
          echo 'start() {'  &gt;&gt; /etc/rc.d/init.d/node_exporter
          echo '    echo -n "Starting $PROGNAME: "'  &gt;&gt; /etc/rc.d/init.d/node_exporter
          echo '    daemon --user $USER --pidfile="$LOCKFILE" "$PROG --log.level="$LOGLEVEL" &amp;&gt;&gt;$LOGFILE &amp;"'  &gt;&gt; /etc/rc.d/init.d/node_exporter
          echo '    echo $(pidofproc $PROGNAME) &gt;$LOCKFILE'  &gt;&gt; /etc/rc.d/init.d/node_exporter
          echo '    echo'  &gt;&gt; /etc/rc.d/init.d/node_exporter
          echo '}'  &gt;&gt; /etc/rc.d/init.d/node_exporter
          echo ''  &gt;&gt; /etc/rc.d/init.d/node_exporter
          echo 'stop() {'  &gt;&gt; /etc/rc.d/init.d/node_exporter
          echo '    echo -n "Shutting down $PROGNAME: "'  &gt;&gt; /etc/rc.d/init.d/node_exporter
          echo '    killproc $PROGNAME'  &gt;&gt; /etc/rc.d/init.d/node_exporter
          echo '    rm -f $LOCKFILE'  &gt;&gt; /etc/rc.d/init.d/node_exporter
          echo '    echo'  &gt;&gt; /etc/rc.d/init.d/node_exporter
          echo '}'  &gt;&gt; /etc/rc.d/init.d/node_exporter
          echo ''  &gt;&gt; /etc/rc.d/init.d/node_exporter
          echo ''  &gt;&gt; /etc/rc.d/init.d/node_exporter
          echo 'case "$1" in'  &gt;&gt; /etc/rc.d/init.d/node_exporter
          echo '    start)'  &gt;&gt; /etc/rc.d/init.d/node_exporter
          echo '    start'  &gt;&gt; /etc/rc.d/init.d/node_exporter
          echo '    ;;'  &gt;&gt; /etc/rc.d/init.d/node_exporter
          echo '    stop)'  &gt;&gt; /etc/rc.d/init.d/node_exporter
          echo '    stop'  &gt;&gt; /etc/rc.d/init.d/node_exporter
          echo '    ;;'  &gt;&gt; /etc/rc.d/init.d/node_exporter
          echo '    status)'  &gt;&gt; /etc/rc.d/init.d/node_exporter
          echo '    status $PROGNAME'  &gt;&gt; /etc/rc.d/init.d/node_exporter
          echo '    ;;'  &gt;&gt; /etc/rc.d/init.d/node_exporter
          echo '    restart)'  &gt;&gt; /etc/rc.d/init.d/node_exporter
          echo '    stop'  &gt;&gt; /etc/rc.d/init.d/node_exporter
          echo '    start'  &gt;&gt; /etc/rc.d/init.d/node_exporter
          echo '    ;;'  &gt;&gt; /etc/rc.d/init.d/node_exporter
          echo '    *)'  &gt;&gt; /etc/rc.d/init.d/node_exporter
          echo '        echo "Usage: &lt;servicename&gt; {start|stop|status|restart}"'  &gt;&gt; /etc/rc.d/init.d/node_exporter
          echo '        exit 1'  &gt;&gt; /etc/rc.d/init.d/node_exporter
          echo '    ;;'  &gt;&gt; /etc/rc.d/init.d/node_exporter
          echo 'esac'  &gt;&gt; /etc/rc.d/init.d/node_exporter
          # node_exploter booting
          chmod +x /etc/rc.d/init.d/node_exporter
          mkdir /var/log/node_exporter
          /etc/init.d/node_exporter start
          chkconfig node_exporter on
          # node_exploter log rotation
          echo '/var/log/node_exporter/*log {'  &gt; /etc/logrotate.d/node_exporter
          echo '    missingok'  &gt;&gt; /etc/logrotate.d/node_exporter
          echo '    notifempty'  &gt;&gt; /etc/logrotate.d/node_exporter
          echo '    sharedscripts'  &gt;&gt; /etc/logrotate.d/node_exporter
          echo '    delaycompress'  &gt;&gt; /etc/logrotate.d/node_exporter
          echo '    postrotate'  &gt;&gt; /etc/logrotate.d/node_exporter
          echo '        /etc/init.d/node_exporter restart &gt; /dev/null 2&gt;/dev/null || true'  &gt;&gt; /etc/logrotate.d/node_exporter
          echo '    endscript'  &gt;&gt; /etc/logrotate.d/node_exporter
          echo '}'  &gt;&gt; /etc/logrotate.d/node_exporter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</si>
</sst>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  <font>
      <u/>
      <sz val="11"/>
      <color theme="10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3" fillId="7" borderId="0" xfId="0" applyFont="1" applyFill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8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4" fillId="0" borderId="0" xfId="0" applyFont="1"/>
    <xf numFmtId="0" fontId="0" fillId="0" borderId="3" xfId="0" applyBorder="1"/>
    <xf numFmtId="0" fontId="0" fillId="0" borderId="4" xfId="0" applyBorder="1"/>
    <xf numFmtId="0" fontId="0" fillId="9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1" xfId="0" quotePrefix="1" applyFill="1" applyBorder="1"/>
    <xf numFmtId="0" fontId="0" fillId="3" borderId="1" xfId="0" applyFill="1" applyBorder="1"/>
    <xf numFmtId="0" fontId="0" fillId="2" borderId="3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1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" xfId="0" applyFill="1" applyBorder="1"/>
    <xf numFmtId="0" fontId="0" fillId="5" borderId="3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1" xfId="0" applyFill="1" applyBorder="1"/>
    <xf numFmtId="0" fontId="0" fillId="0" borderId="1" xfId="0" applyBorder="1" applyAlignment="1">
      <alignment vertical="top"/>
    </xf>
    <xf numFmtId="0" fontId="0" fillId="0" borderId="3" xfId="0" applyBorder="1" applyAlignment="1">
      <alignment vertical="top"/>
    </xf>
    <xf numFmtId="0" fontId="5" fillId="0" borderId="1" xfId="1" applyBorder="1" applyAlignment="1">
      <alignment vertical="top"/>
    </xf>
    <xf numFmtId="0" fontId="0" fillId="3" borderId="3" xfId="0" applyFill="1" applyBorder="1" applyAlignment="1">
      <alignment vertical="top"/>
    </xf>
    <xf numFmtId="0" fontId="0" fillId="3" borderId="1" xfId="0" quotePrefix="1" applyFill="1" applyBorder="1" applyAlignment="1">
      <alignment vertical="top"/>
    </xf>
    <xf numFmtId="0" fontId="5" fillId="3" borderId="1" xfId="1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0" fillId="4" borderId="1" xfId="0" quotePrefix="1" applyFill="1" applyBorder="1" applyAlignment="1">
      <alignment vertical="top"/>
    </xf>
    <xf numFmtId="0" fontId="5" fillId="4" borderId="1" xfId="1" applyFill="1" applyBorder="1" applyAlignment="1">
      <alignment vertical="top"/>
    </xf>
    <xf numFmtId="0" fontId="0" fillId="0" borderId="3" xfId="0" quotePrefix="1" applyBorder="1" applyAlignment="1">
      <alignment vertical="top"/>
    </xf>
    <xf numFmtId="0" fontId="0" fillId="6" borderId="3" xfId="0" applyFill="1" applyBorder="1" applyAlignment="1">
      <alignment vertical="top"/>
    </xf>
    <xf numFmtId="0" fontId="0" fillId="6" borderId="1" xfId="0" quotePrefix="1" applyFill="1" applyBorder="1" applyAlignment="1">
      <alignment vertical="top"/>
    </xf>
    <xf numFmtId="0" fontId="5" fillId="6" borderId="1" xfId="1" applyFill="1" applyBorder="1" applyAlignment="1">
      <alignment vertical="top"/>
    </xf>
    <xf numFmtId="0" fontId="0" fillId="9" borderId="3" xfId="0" applyFill="1" applyBorder="1" applyAlignment="1">
      <alignment vertical="top"/>
    </xf>
    <xf numFmtId="0" fontId="0" fillId="9" borderId="1" xfId="0" quotePrefix="1" applyFill="1" applyBorder="1" applyAlignment="1">
      <alignment vertical="top"/>
    </xf>
    <xf numFmtId="0" fontId="5" fillId="9" borderId="1" xfId="1" applyFill="1" applyBorder="1" applyAlignment="1">
      <alignment vertical="top"/>
    </xf>
    <xf numFmtId="0" fontId="0" fillId="10" borderId="3" xfId="0" quotePrefix="1" applyFill="1" applyBorder="1" applyAlignment="1">
      <alignment vertical="top"/>
    </xf>
    <xf numFmtId="0" fontId="0" fillId="0" borderId="1" xfId="0" quotePrefix="1" applyBorder="1"/>
    <xf numFmtId="0" fontId="0" fillId="0" borderId="1" xfId="0" applyBorder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152400</xdr:rowOff>
        </xdr:from>
        <xdr:to>
          <xdr:col>3</xdr:col>
          <xdr:colOff>1047750</xdr:colOff>
          <xdr:row>6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://docs.aws.amazon.com/AWSCloudFormation/latest/UserGuide/aws-properties-ec2-blockdev-mapping.html" TargetMode="External"/><Relationship Id="rId117" Type="http://schemas.openxmlformats.org/officeDocument/2006/relationships/hyperlink" Target="http://docs.aws.amazon.com/AWSCloudFormation/latest/UserGuide/aws-properties-ec2-instance-ssmassociations.html" TargetMode="External"/><Relationship Id="rId21" Type="http://schemas.openxmlformats.org/officeDocument/2006/relationships/hyperlink" Target="http://docs.aws.amazon.com/AWSCloudFormation/latest/UserGuide/aws-properties-ec2-blockdev-template.html" TargetMode="External"/><Relationship Id="rId42" Type="http://schemas.openxmlformats.org/officeDocument/2006/relationships/hyperlink" Target="http://docs.aws.amazon.com/AWSCloudFormation/latest/UserGuide/aws-properties-ec2-instance-elasticinferenceaccelerator.html" TargetMode="External"/><Relationship Id="rId47" Type="http://schemas.openxmlformats.org/officeDocument/2006/relationships/hyperlink" Target="http://docs.aws.amazon.com/AWSCloudFormation/latest/UserGuide/aws-properties-ec2-instance.html" TargetMode="External"/><Relationship Id="rId63" Type="http://schemas.openxmlformats.org/officeDocument/2006/relationships/hyperlink" Target="http://docs.aws.amazon.com/AWSCloudFormation/latest/UserGuide/aws-properties-ec2-instance.html" TargetMode="External"/><Relationship Id="rId68" Type="http://schemas.openxmlformats.org/officeDocument/2006/relationships/hyperlink" Target="http://docs.aws.amazon.com/AWSCloudFormation/latest/UserGuide/aws-properties-ec2-network-iface-embedded.html" TargetMode="External"/><Relationship Id="rId84" Type="http://schemas.openxmlformats.org/officeDocument/2006/relationships/hyperlink" Target="http://docs.aws.amazon.com/AWSCloudFormation/latest/UserGuide/aws-properties-ec2-network-iface-embedded.html" TargetMode="External"/><Relationship Id="rId89" Type="http://schemas.openxmlformats.org/officeDocument/2006/relationships/hyperlink" Target="http://docs.aws.amazon.com/AWSCloudFormation/latest/UserGuide/aws-properties-ec2-network-iface-embedded.html" TargetMode="External"/><Relationship Id="rId112" Type="http://schemas.openxmlformats.org/officeDocument/2006/relationships/hyperlink" Target="http://docs.aws.amazon.com/AWSCloudFormation/latest/UserGuide/aws-properties-ec2-instance-ssmassociations-associationparameters.html" TargetMode="External"/><Relationship Id="rId133" Type="http://schemas.openxmlformats.org/officeDocument/2006/relationships/hyperlink" Target="http://docs.aws.amazon.com/AWSCloudFormation/latest/UserGuide/aws-properties-ec2-mount-point.html" TargetMode="External"/><Relationship Id="rId16" Type="http://schemas.openxmlformats.org/officeDocument/2006/relationships/hyperlink" Target="http://docs.aws.amazon.com/AWSCloudFormation/latest/UserGuide/aws-properties-ec2-blockdev-mapping.html" TargetMode="External"/><Relationship Id="rId107" Type="http://schemas.openxmlformats.org/officeDocument/2006/relationships/hyperlink" Target="http://docs.aws.amazon.com/AWSCloudFormation/latest/UserGuide/aws-properties-ec2-instance.html" TargetMode="External"/><Relationship Id="rId11" Type="http://schemas.openxmlformats.org/officeDocument/2006/relationships/hyperlink" Target="http://docs.aws.amazon.com/AWSCloudFormation/latest/UserGuide/aws-properties-ec2-blockdev-template.html" TargetMode="External"/><Relationship Id="rId32" Type="http://schemas.openxmlformats.org/officeDocument/2006/relationships/hyperlink" Target="http://docs.aws.amazon.com/AWSCloudFormation/latest/UserGuide/aws-properties-ec2-instance-creditspecification.html" TargetMode="External"/><Relationship Id="rId37" Type="http://schemas.openxmlformats.org/officeDocument/2006/relationships/hyperlink" Target="http://docs.aws.amazon.com/AWSCloudFormation/latest/UserGuide/aws-properties-ec2-instance-elasticgpuspecification.html" TargetMode="External"/><Relationship Id="rId53" Type="http://schemas.openxmlformats.org/officeDocument/2006/relationships/hyperlink" Target="http://docs.aws.amazon.com/AWSCloudFormation/latest/UserGuide/aws-properties-ec2-instance.html" TargetMode="External"/><Relationship Id="rId58" Type="http://schemas.openxmlformats.org/officeDocument/2006/relationships/hyperlink" Target="http://docs.aws.amazon.com/AWSCloudFormation/latest/UserGuide/aws-properties-ec2-instance.html" TargetMode="External"/><Relationship Id="rId74" Type="http://schemas.openxmlformats.org/officeDocument/2006/relationships/hyperlink" Target="http://docs.aws.amazon.com/AWSCloudFormation/latest/UserGuide/aws-properties-ec2-network-iface-embedded.html" TargetMode="External"/><Relationship Id="rId79" Type="http://schemas.openxmlformats.org/officeDocument/2006/relationships/hyperlink" Target="http://docs.aws.amazon.com/AWSCloudFormation/latest/UserGuide/aws-properties-ec2-network-iface-embedded.html" TargetMode="External"/><Relationship Id="rId102" Type="http://schemas.openxmlformats.org/officeDocument/2006/relationships/hyperlink" Target="http://docs.aws.amazon.com/AWSCloudFormation/latest/UserGuide/aws-properties-ec2-network-iface-embedded.html" TargetMode="External"/><Relationship Id="rId123" Type="http://schemas.openxmlformats.org/officeDocument/2006/relationships/hyperlink" Target="http://docs.aws.amazon.com/AWSCloudFormation/latest/UserGuide/aws-properties-ec2-instance.html" TargetMode="External"/><Relationship Id="rId128" Type="http://schemas.openxmlformats.org/officeDocument/2006/relationships/hyperlink" Target="http://docs.aws.amazon.com/AWSCloudFormation/latest/UserGuide/aws-properties-ec2-instance.html" TargetMode="External"/><Relationship Id="rId5" Type="http://schemas.openxmlformats.org/officeDocument/2006/relationships/hyperlink" Target="http://docs.aws.amazon.com/AWSCloudFormation/latest/UserGuide/aws-properties-ec2-instance.html" TargetMode="External"/><Relationship Id="rId90" Type="http://schemas.openxmlformats.org/officeDocument/2006/relationships/hyperlink" Target="http://docs.aws.amazon.com/AWSCloudFormation/latest/UserGuide/aws-properties-ec2-network-iface-embedded.html" TargetMode="External"/><Relationship Id="rId95" Type="http://schemas.openxmlformats.org/officeDocument/2006/relationships/hyperlink" Target="http://docs.aws.amazon.com/AWSCloudFormation/latest/UserGuide/aws-properties-ec2-network-iface-embedded.html" TargetMode="External"/><Relationship Id="rId14" Type="http://schemas.openxmlformats.org/officeDocument/2006/relationships/hyperlink" Target="http://docs.aws.amazon.com/AWSCloudFormation/latest/UserGuide/aws-properties-ec2-blockdev-template.html" TargetMode="External"/><Relationship Id="rId22" Type="http://schemas.openxmlformats.org/officeDocument/2006/relationships/hyperlink" Target="http://docs.aws.amazon.com/AWSCloudFormation/latest/UserGuide/aws-properties-ec2-blockdev-template.html" TargetMode="External"/><Relationship Id="rId27" Type="http://schemas.openxmlformats.org/officeDocument/2006/relationships/hyperlink" Target="http://docs.aws.amazon.com/AWSCloudFormation/latest/UserGuide/aws-properties-ec2-blockdev-mapping.html" TargetMode="External"/><Relationship Id="rId30" Type="http://schemas.openxmlformats.org/officeDocument/2006/relationships/hyperlink" Target="http://docs.aws.amazon.com/AWSCloudFormation/latest/UserGuide/aws-properties-ec2-instance-cpuoptions.html" TargetMode="External"/><Relationship Id="rId35" Type="http://schemas.openxmlformats.org/officeDocument/2006/relationships/hyperlink" Target="http://docs.aws.amazon.com/AWSCloudFormation/latest/UserGuide/aws-properties-ec2-instance.html" TargetMode="External"/><Relationship Id="rId43" Type="http://schemas.openxmlformats.org/officeDocument/2006/relationships/hyperlink" Target="http://docs.aws.amazon.com/AWSCloudFormation/latest/UserGuide/aws-properties-ec2-instance.html" TargetMode="External"/><Relationship Id="rId48" Type="http://schemas.openxmlformats.org/officeDocument/2006/relationships/hyperlink" Target="http://docs.aws.amazon.com/AWSCloudFormation/latest/UserGuide/aws-properties-ec2-instance.html" TargetMode="External"/><Relationship Id="rId56" Type="http://schemas.openxmlformats.org/officeDocument/2006/relationships/hyperlink" Target="http://docs.aws.amazon.com/AWSCloudFormation/latest/UserGuide/aws-properties-ec2-instance-instanceipv6address.html" TargetMode="External"/><Relationship Id="rId64" Type="http://schemas.openxmlformats.org/officeDocument/2006/relationships/hyperlink" Target="http://docs.aws.amazon.com/AWSCloudFormation/latest/UserGuide/aws-properties-ec2-instance-licensespecification.html" TargetMode="External"/><Relationship Id="rId69" Type="http://schemas.openxmlformats.org/officeDocument/2006/relationships/hyperlink" Target="http://docs.aws.amazon.com/AWSCloudFormation/latest/UserGuide/aws-properties-ec2-network-iface-embedded.html" TargetMode="External"/><Relationship Id="rId77" Type="http://schemas.openxmlformats.org/officeDocument/2006/relationships/hyperlink" Target="http://docs.aws.amazon.com/AWSCloudFormation/latest/UserGuide/aws-properties-ec2-network-iface-embedded.html" TargetMode="External"/><Relationship Id="rId100" Type="http://schemas.openxmlformats.org/officeDocument/2006/relationships/hyperlink" Target="http://docs.aws.amazon.com/AWSCloudFormation/latest/UserGuide/aws-properties-ec2-network-interface-privateipspec.html" TargetMode="External"/><Relationship Id="rId105" Type="http://schemas.openxmlformats.org/officeDocument/2006/relationships/hyperlink" Target="http://docs.aws.amazon.com/AWSCloudFormation/latest/UserGuide/aws-properties-ec2-instance.html" TargetMode="External"/><Relationship Id="rId113" Type="http://schemas.openxmlformats.org/officeDocument/2006/relationships/hyperlink" Target="http://docs.aws.amazon.com/AWSCloudFormation/latest/UserGuide/aws-properties-ec2-instance-ssmassociations-associationparameters.html" TargetMode="External"/><Relationship Id="rId118" Type="http://schemas.openxmlformats.org/officeDocument/2006/relationships/hyperlink" Target="http://docs.aws.amazon.com/AWSCloudFormation/latest/UserGuide/aws-properties-ec2-instance-ssmassociations-associationparameters.html" TargetMode="External"/><Relationship Id="rId126" Type="http://schemas.openxmlformats.org/officeDocument/2006/relationships/hyperlink" Target="http://docs.aws.amazon.com/AWSCloudFormation/latest/UserGuide/aws-properties-resource-tags.html" TargetMode="External"/><Relationship Id="rId134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blockdev-template.html" TargetMode="External"/><Relationship Id="rId51" Type="http://schemas.openxmlformats.org/officeDocument/2006/relationships/hyperlink" Target="http://docs.aws.amazon.com/AWSCloudFormation/latest/UserGuide/aws-properties-ec2-instance.html" TargetMode="External"/><Relationship Id="rId72" Type="http://schemas.openxmlformats.org/officeDocument/2006/relationships/hyperlink" Target="http://docs.aws.amazon.com/AWSCloudFormation/latest/UserGuide/aws-properties-ec2-network-iface-embedded.html" TargetMode="External"/><Relationship Id="rId80" Type="http://schemas.openxmlformats.org/officeDocument/2006/relationships/hyperlink" Target="http://docs.aws.amazon.com/AWSCloudFormation/latest/UserGuide/aws-properties-ec2-network-interface-privateipspec.html" TargetMode="External"/><Relationship Id="rId85" Type="http://schemas.openxmlformats.org/officeDocument/2006/relationships/hyperlink" Target="http://docs.aws.amazon.com/AWSCloudFormation/latest/UserGuide/aws-properties-ec2-network-iface-embedded.html" TargetMode="External"/><Relationship Id="rId93" Type="http://schemas.openxmlformats.org/officeDocument/2006/relationships/hyperlink" Target="http://docs.aws.amazon.com/AWSCloudFormation/latest/UserGuide/aws-properties-ec2-instance-instanceipv6address.html" TargetMode="External"/><Relationship Id="rId98" Type="http://schemas.openxmlformats.org/officeDocument/2006/relationships/hyperlink" Target="http://docs.aws.amazon.com/AWSCloudFormation/latest/UserGuide/aws-properties-ec2-network-interface-privateipspec.html" TargetMode="External"/><Relationship Id="rId121" Type="http://schemas.openxmlformats.org/officeDocument/2006/relationships/hyperlink" Target="http://docs.aws.amazon.com/AWSCloudFormation/latest/UserGuide/aws-properties-ec2-instance-ssmassociations-associationparameters.html" TargetMode="External"/><Relationship Id="rId3" Type="http://schemas.openxmlformats.org/officeDocument/2006/relationships/hyperlink" Target="http://docs.aws.amazon.com/AWSCloudFormation/latest/UserGuide/aws-properties-ec2-instance.html" TargetMode="External"/><Relationship Id="rId12" Type="http://schemas.openxmlformats.org/officeDocument/2006/relationships/hyperlink" Target="http://docs.aws.amazon.com/AWSCloudFormation/latest/UserGuide/aws-properties-ec2-blockdev-template.html" TargetMode="External"/><Relationship Id="rId17" Type="http://schemas.openxmlformats.org/officeDocument/2006/relationships/hyperlink" Target="http://docs.aws.amazon.com/AWSCloudFormation/latest/UserGuide/aws-properties-ec2-blockdev-mapping.html" TargetMode="External"/><Relationship Id="rId25" Type="http://schemas.openxmlformats.org/officeDocument/2006/relationships/hyperlink" Target="http://docs.aws.amazon.com/AWSCloudFormation/latest/UserGuide/aws-properties-ec2-blockdev-template.html" TargetMode="External"/><Relationship Id="rId33" Type="http://schemas.openxmlformats.org/officeDocument/2006/relationships/hyperlink" Target="http://docs.aws.amazon.com/AWSCloudFormation/latest/UserGuide/aws-properties-ec2-instance.html" TargetMode="External"/><Relationship Id="rId38" Type="http://schemas.openxmlformats.org/officeDocument/2006/relationships/hyperlink" Target="http://docs.aws.amazon.com/AWSCloudFormation/latest/UserGuide/aws-properties-ec2-instance.html" TargetMode="External"/><Relationship Id="rId46" Type="http://schemas.openxmlformats.org/officeDocument/2006/relationships/hyperlink" Target="http://docs.aws.amazon.com/AWSCloudFormation/latest/UserGuide/aws-properties-ec2-instance-hibernationoptions.html" TargetMode="External"/><Relationship Id="rId59" Type="http://schemas.openxmlformats.org/officeDocument/2006/relationships/hyperlink" Target="http://docs.aws.amazon.com/AWSCloudFormation/latest/UserGuide/aws-properties-ec2-instance.html" TargetMode="External"/><Relationship Id="rId67" Type="http://schemas.openxmlformats.org/officeDocument/2006/relationships/hyperlink" Target="http://docs.aws.amazon.com/AWSCloudFormation/latest/UserGuide/aws-properties-ec2-instance.html" TargetMode="External"/><Relationship Id="rId103" Type="http://schemas.openxmlformats.org/officeDocument/2006/relationships/hyperlink" Target="http://docs.aws.amazon.com/AWSCloudFormation/latest/UserGuide/aws-properties-ec2-network-iface-embedded.html" TargetMode="External"/><Relationship Id="rId108" Type="http://schemas.openxmlformats.org/officeDocument/2006/relationships/hyperlink" Target="http://docs.aws.amazon.com/AWSCloudFormation/latest/UserGuide/aws-properties-ec2-instance.html" TargetMode="External"/><Relationship Id="rId116" Type="http://schemas.openxmlformats.org/officeDocument/2006/relationships/hyperlink" Target="http://docs.aws.amazon.com/AWSCloudFormation/latest/UserGuide/aws-properties-ec2-instance-ssmassociations.html" TargetMode="External"/><Relationship Id="rId124" Type="http://schemas.openxmlformats.org/officeDocument/2006/relationships/hyperlink" Target="http://docs.aws.amazon.com/AWSCloudFormation/latest/UserGuide/aws-properties-ec2-instance.html" TargetMode="External"/><Relationship Id="rId129" Type="http://schemas.openxmlformats.org/officeDocument/2006/relationships/hyperlink" Target="http://docs.aws.amazon.com/AWSCloudFormation/latest/UserGuide/aws-properties-ec2-instance.html" TargetMode="External"/><Relationship Id="rId20" Type="http://schemas.openxmlformats.org/officeDocument/2006/relationships/hyperlink" Target="http://docs.aws.amazon.com/AWSCloudFormation/latest/UserGuide/aws-properties-ec2-blockdev-template.html" TargetMode="External"/><Relationship Id="rId41" Type="http://schemas.openxmlformats.org/officeDocument/2006/relationships/hyperlink" Target="http://docs.aws.amazon.com/AWSCloudFormation/latest/UserGuide/aws-properties-ec2-instance-elasticinferenceaccelerator.html" TargetMode="External"/><Relationship Id="rId54" Type="http://schemas.openxmlformats.org/officeDocument/2006/relationships/hyperlink" Target="http://docs.aws.amazon.com/AWSCloudFormation/latest/UserGuide/aws-properties-ec2-instance.html" TargetMode="External"/><Relationship Id="rId62" Type="http://schemas.openxmlformats.org/officeDocument/2006/relationships/hyperlink" Target="http://docs.aws.amazon.com/AWSCloudFormation/latest/UserGuide/aws-properties-ec2-instance-launchtemplatespecification.html" TargetMode="External"/><Relationship Id="rId70" Type="http://schemas.openxmlformats.org/officeDocument/2006/relationships/hyperlink" Target="http://docs.aws.amazon.com/AWSCloudFormation/latest/UserGuide/aws-properties-ec2-network-iface-embedded.html" TargetMode="External"/><Relationship Id="rId75" Type="http://schemas.openxmlformats.org/officeDocument/2006/relationships/hyperlink" Target="http://docs.aws.amazon.com/AWSCloudFormation/latest/UserGuide/aws-properties-ec2-instance-instanceipv6address.html" TargetMode="External"/><Relationship Id="rId83" Type="http://schemas.openxmlformats.org/officeDocument/2006/relationships/hyperlink" Target="http://docs.aws.amazon.com/AWSCloudFormation/latest/UserGuide/aws-properties-ec2-network-interface-privateipspec.html" TargetMode="External"/><Relationship Id="rId88" Type="http://schemas.openxmlformats.org/officeDocument/2006/relationships/hyperlink" Target="http://docs.aws.amazon.com/AWSCloudFormation/latest/UserGuide/aws-properties-ec2-network-iface-embedded.html" TargetMode="External"/><Relationship Id="rId91" Type="http://schemas.openxmlformats.org/officeDocument/2006/relationships/hyperlink" Target="http://docs.aws.amazon.com/AWSCloudFormation/latest/UserGuide/aws-properties-ec2-network-iface-embedded.html" TargetMode="External"/><Relationship Id="rId96" Type="http://schemas.openxmlformats.org/officeDocument/2006/relationships/hyperlink" Target="http://docs.aws.amazon.com/AWSCloudFormation/latest/UserGuide/aws-properties-ec2-network-iface-embedded.html" TargetMode="External"/><Relationship Id="rId111" Type="http://schemas.openxmlformats.org/officeDocument/2006/relationships/hyperlink" Target="http://docs.aws.amazon.com/AWSCloudFormation/latest/UserGuide/aws-properties-ec2-instance-ssmassociations.html" TargetMode="External"/><Relationship Id="rId132" Type="http://schemas.openxmlformats.org/officeDocument/2006/relationships/hyperlink" Target="http://docs.aws.amazon.com/AWSCloudFormation/latest/UserGuide/aws-properties-ec2-mount-point.html" TargetMode="External"/><Relationship Id="rId1" Type="http://schemas.openxmlformats.org/officeDocument/2006/relationships/hyperlink" Target="http://docs.aws.amazon.com/AWSCloudFormation/latest/UserGuide/aws-properties-ec2-instance.html" TargetMode="External"/><Relationship Id="rId6" Type="http://schemas.openxmlformats.org/officeDocument/2006/relationships/hyperlink" Target="http://docs.aws.amazon.com/AWSCloudFormation/latest/UserGuide/aws-properties-ec2-blockdev-mapping.html" TargetMode="External"/><Relationship Id="rId15" Type="http://schemas.openxmlformats.org/officeDocument/2006/relationships/hyperlink" Target="http://docs.aws.amazon.com/AWSCloudFormation/latest/UserGuide/aws-properties-ec2-blockdev-mapping.html" TargetMode="External"/><Relationship Id="rId23" Type="http://schemas.openxmlformats.org/officeDocument/2006/relationships/hyperlink" Target="http://docs.aws.amazon.com/AWSCloudFormation/latest/UserGuide/aws-properties-ec2-blockdev-template.html" TargetMode="External"/><Relationship Id="rId28" Type="http://schemas.openxmlformats.org/officeDocument/2006/relationships/hyperlink" Target="http://docs.aws.amazon.com/AWSCloudFormation/latest/UserGuide/aws-properties-ec2-instance.html" TargetMode="External"/><Relationship Id="rId36" Type="http://schemas.openxmlformats.org/officeDocument/2006/relationships/hyperlink" Target="http://docs.aws.amazon.com/AWSCloudFormation/latest/UserGuide/aws-properties-ec2-instance-elasticgpuspecification.html" TargetMode="External"/><Relationship Id="rId49" Type="http://schemas.openxmlformats.org/officeDocument/2006/relationships/hyperlink" Target="http://docs.aws.amazon.com/AWSCloudFormation/latest/UserGuide/aws-properties-ec2-instance.html" TargetMode="External"/><Relationship Id="rId57" Type="http://schemas.openxmlformats.org/officeDocument/2006/relationships/hyperlink" Target="http://docs.aws.amazon.com/AWSCloudFormation/latest/UserGuide/aws-properties-ec2-instance.html" TargetMode="External"/><Relationship Id="rId106" Type="http://schemas.openxmlformats.org/officeDocument/2006/relationships/hyperlink" Target="http://docs.aws.amazon.com/AWSCloudFormation/latest/UserGuide/aws-properties-ec2-instance.html" TargetMode="External"/><Relationship Id="rId114" Type="http://schemas.openxmlformats.org/officeDocument/2006/relationships/hyperlink" Target="http://docs.aws.amazon.com/AWSCloudFormation/latest/UserGuide/aws-properties-ec2-instance-ssmassociations-associationparameters.html" TargetMode="External"/><Relationship Id="rId119" Type="http://schemas.openxmlformats.org/officeDocument/2006/relationships/hyperlink" Target="http://docs.aws.amazon.com/AWSCloudFormation/latest/UserGuide/aws-properties-ec2-instance-ssmassociations-associationparameters.html" TargetMode="External"/><Relationship Id="rId127" Type="http://schemas.openxmlformats.org/officeDocument/2006/relationships/hyperlink" Target="http://docs.aws.amazon.com/AWSCloudFormation/latest/UserGuide/aws-properties-ec2-instance.html" TargetMode="External"/><Relationship Id="rId10" Type="http://schemas.openxmlformats.org/officeDocument/2006/relationships/hyperlink" Target="http://docs.aws.amazon.com/AWSCloudFormation/latest/UserGuide/aws-properties-ec2-blockdev-template.html" TargetMode="External"/><Relationship Id="rId31" Type="http://schemas.openxmlformats.org/officeDocument/2006/relationships/hyperlink" Target="http://docs.aws.amazon.com/AWSCloudFormation/latest/UserGuide/aws-properties-ec2-instance.html" TargetMode="External"/><Relationship Id="rId44" Type="http://schemas.openxmlformats.org/officeDocument/2006/relationships/hyperlink" Target="http://docs.aws.amazon.com/AWSCloudFormation/latest/UserGuide/aws-properties-ec2-instance-enclaveoptions.html" TargetMode="External"/><Relationship Id="rId52" Type="http://schemas.openxmlformats.org/officeDocument/2006/relationships/hyperlink" Target="http://docs.aws.amazon.com/AWSCloudFormation/latest/UserGuide/aws-properties-ec2-instance.html" TargetMode="External"/><Relationship Id="rId60" Type="http://schemas.openxmlformats.org/officeDocument/2006/relationships/hyperlink" Target="http://docs.aws.amazon.com/AWSCloudFormation/latest/UserGuide/aws-properties-ec2-instance-launchtemplatespecification.html" TargetMode="External"/><Relationship Id="rId65" Type="http://schemas.openxmlformats.org/officeDocument/2006/relationships/hyperlink" Target="http://docs.aws.amazon.com/AWSCloudFormation/latest/UserGuide/aws-properties-ec2-instance-licensespecification.html" TargetMode="External"/><Relationship Id="rId73" Type="http://schemas.openxmlformats.org/officeDocument/2006/relationships/hyperlink" Target="http://docs.aws.amazon.com/AWSCloudFormation/latest/UserGuide/aws-properties-ec2-network-iface-embedded.html" TargetMode="External"/><Relationship Id="rId78" Type="http://schemas.openxmlformats.org/officeDocument/2006/relationships/hyperlink" Target="http://docs.aws.amazon.com/AWSCloudFormation/latest/UserGuide/aws-properties-ec2-network-iface-embedded.html" TargetMode="External"/><Relationship Id="rId81" Type="http://schemas.openxmlformats.org/officeDocument/2006/relationships/hyperlink" Target="http://docs.aws.amazon.com/AWSCloudFormation/latest/UserGuide/aws-properties-ec2-network-interface-privateipspec.html" TargetMode="External"/><Relationship Id="rId86" Type="http://schemas.openxmlformats.org/officeDocument/2006/relationships/hyperlink" Target="http://docs.aws.amazon.com/AWSCloudFormation/latest/UserGuide/aws-properties-ec2-network-iface-embedded.html" TargetMode="External"/><Relationship Id="rId94" Type="http://schemas.openxmlformats.org/officeDocument/2006/relationships/hyperlink" Target="http://docs.aws.amazon.com/AWSCloudFormation/latest/UserGuide/aws-properties-ec2-instance-instanceipv6address.html" TargetMode="External"/><Relationship Id="rId99" Type="http://schemas.openxmlformats.org/officeDocument/2006/relationships/hyperlink" Target="http://docs.aws.amazon.com/AWSCloudFormation/latest/UserGuide/aws-properties-ec2-network-interface-privateipspec.html" TargetMode="External"/><Relationship Id="rId101" Type="http://schemas.openxmlformats.org/officeDocument/2006/relationships/hyperlink" Target="http://docs.aws.amazon.com/AWSCloudFormation/latest/UserGuide/aws-properties-ec2-network-interface-privateipspec.html" TargetMode="External"/><Relationship Id="rId122" Type="http://schemas.openxmlformats.org/officeDocument/2006/relationships/hyperlink" Target="http://docs.aws.amazon.com/AWSCloudFormation/latest/UserGuide/aws-properties-ec2-instance-ssmassociations.html" TargetMode="External"/><Relationship Id="rId130" Type="http://schemas.openxmlformats.org/officeDocument/2006/relationships/hyperlink" Target="http://docs.aws.amazon.com/AWSCloudFormation/latest/UserGuide/aws-properties-ec2-mount-point.html" TargetMode="External"/><Relationship Id="rId13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ec2-instance.html" TargetMode="External"/><Relationship Id="rId9" Type="http://schemas.openxmlformats.org/officeDocument/2006/relationships/hyperlink" Target="http://docs.aws.amazon.com/AWSCloudFormation/latest/UserGuide/aws-properties-ec2-blockdev-template.html" TargetMode="External"/><Relationship Id="rId13" Type="http://schemas.openxmlformats.org/officeDocument/2006/relationships/hyperlink" Target="http://docs.aws.amazon.com/AWSCloudFormation/latest/UserGuide/aws-properties-ec2-blockdev-template.html" TargetMode="External"/><Relationship Id="rId18" Type="http://schemas.openxmlformats.org/officeDocument/2006/relationships/hyperlink" Target="http://docs.aws.amazon.com/AWSCloudFormation/latest/UserGuide/aws-properties-ec2-blockdev-mapping.html" TargetMode="External"/><Relationship Id="rId39" Type="http://schemas.openxmlformats.org/officeDocument/2006/relationships/hyperlink" Target="http://docs.aws.amazon.com/AWSCloudFormation/latest/UserGuide/aws-properties-ec2-instance-elasticinferenceaccelerator.html" TargetMode="External"/><Relationship Id="rId109" Type="http://schemas.openxmlformats.org/officeDocument/2006/relationships/hyperlink" Target="http://docs.aws.amazon.com/AWSCloudFormation/latest/UserGuide/aws-properties-ec2-instance.html" TargetMode="External"/><Relationship Id="rId34" Type="http://schemas.openxmlformats.org/officeDocument/2006/relationships/hyperlink" Target="http://docs.aws.amazon.com/AWSCloudFormation/latest/UserGuide/aws-properties-ec2-instance.html" TargetMode="External"/><Relationship Id="rId50" Type="http://schemas.openxmlformats.org/officeDocument/2006/relationships/hyperlink" Target="http://docs.aws.amazon.com/AWSCloudFormation/latest/UserGuide/aws-properties-ec2-instance.html" TargetMode="External"/><Relationship Id="rId55" Type="http://schemas.openxmlformats.org/officeDocument/2006/relationships/hyperlink" Target="http://docs.aws.amazon.com/AWSCloudFormation/latest/UserGuide/aws-properties-ec2-instance-instanceipv6address.html" TargetMode="External"/><Relationship Id="rId76" Type="http://schemas.openxmlformats.org/officeDocument/2006/relationships/hyperlink" Target="http://docs.aws.amazon.com/AWSCloudFormation/latest/UserGuide/aws-properties-ec2-instance-instanceipv6address.html" TargetMode="External"/><Relationship Id="rId97" Type="http://schemas.openxmlformats.org/officeDocument/2006/relationships/hyperlink" Target="http://docs.aws.amazon.com/AWSCloudFormation/latest/UserGuide/aws-properties-ec2-network-iface-embedded.html" TargetMode="External"/><Relationship Id="rId104" Type="http://schemas.openxmlformats.org/officeDocument/2006/relationships/hyperlink" Target="http://docs.aws.amazon.com/AWSCloudFormation/latest/UserGuide/aws-properties-ec2-instance.html" TargetMode="External"/><Relationship Id="rId120" Type="http://schemas.openxmlformats.org/officeDocument/2006/relationships/hyperlink" Target="http://docs.aws.amazon.com/AWSCloudFormation/latest/UserGuide/aws-properties-ec2-instance-ssmassociations-associationparameters.html" TargetMode="External"/><Relationship Id="rId125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properties-ec2-blockdev-mapping.html" TargetMode="External"/><Relationship Id="rId71" Type="http://schemas.openxmlformats.org/officeDocument/2006/relationships/hyperlink" Target="http://docs.aws.amazon.com/AWSCloudFormation/latest/UserGuide/aws-properties-ec2-network-iface-embedded.html" TargetMode="External"/><Relationship Id="rId92" Type="http://schemas.openxmlformats.org/officeDocument/2006/relationships/hyperlink" Target="http://docs.aws.amazon.com/AWSCloudFormation/latest/UserGuide/aws-properties-ec2-network-iface-embedded.html" TargetMode="External"/><Relationship Id="rId2" Type="http://schemas.openxmlformats.org/officeDocument/2006/relationships/hyperlink" Target="http://docs.aws.amazon.com/AWSCloudFormation/latest/UserGuide/aws-properties-ec2-instance.html" TargetMode="External"/><Relationship Id="rId29" Type="http://schemas.openxmlformats.org/officeDocument/2006/relationships/hyperlink" Target="http://docs.aws.amazon.com/AWSCloudFormation/latest/UserGuide/aws-properties-ec2-instance-cpuoptions.html" TargetMode="External"/><Relationship Id="rId24" Type="http://schemas.openxmlformats.org/officeDocument/2006/relationships/hyperlink" Target="http://docs.aws.amazon.com/AWSCloudFormation/latest/UserGuide/aws-properties-ec2-blockdev-template.html" TargetMode="External"/><Relationship Id="rId40" Type="http://schemas.openxmlformats.org/officeDocument/2006/relationships/hyperlink" Target="http://docs.aws.amazon.com/AWSCloudFormation/latest/UserGuide/aws-properties-ec2-instance-elasticinferenceaccelerator.html" TargetMode="External"/><Relationship Id="rId45" Type="http://schemas.openxmlformats.org/officeDocument/2006/relationships/hyperlink" Target="http://docs.aws.amazon.com/AWSCloudFormation/latest/UserGuide/aws-properties-ec2-instance.html" TargetMode="External"/><Relationship Id="rId66" Type="http://schemas.openxmlformats.org/officeDocument/2006/relationships/hyperlink" Target="http://docs.aws.amazon.com/AWSCloudFormation/latest/UserGuide/aws-properties-ec2-instance.html" TargetMode="External"/><Relationship Id="rId87" Type="http://schemas.openxmlformats.org/officeDocument/2006/relationships/hyperlink" Target="http://docs.aws.amazon.com/AWSCloudFormation/latest/UserGuide/aws-properties-ec2-network-iface-embedded.html" TargetMode="External"/><Relationship Id="rId110" Type="http://schemas.openxmlformats.org/officeDocument/2006/relationships/hyperlink" Target="http://docs.aws.amazon.com/AWSCloudFormation/latest/UserGuide/aws-properties-ec2-instance.html" TargetMode="External"/><Relationship Id="rId115" Type="http://schemas.openxmlformats.org/officeDocument/2006/relationships/hyperlink" Target="http://docs.aws.amazon.com/AWSCloudFormation/latest/UserGuide/aws-properties-ec2-instance-ssmassociations-associationparameters.html" TargetMode="External"/><Relationship Id="rId131" Type="http://schemas.openxmlformats.org/officeDocument/2006/relationships/hyperlink" Target="http://docs.aws.amazon.com/AWSCloudFormation/latest/UserGuide/aws-properties-ec2-mount-point.html" TargetMode="External"/><Relationship Id="rId61" Type="http://schemas.openxmlformats.org/officeDocument/2006/relationships/hyperlink" Target="http://docs.aws.amazon.com/AWSCloudFormation/latest/UserGuide/aws-properties-ec2-instance-launchtemplatespecification.html" TargetMode="External"/><Relationship Id="rId82" Type="http://schemas.openxmlformats.org/officeDocument/2006/relationships/hyperlink" Target="http://docs.aws.amazon.com/AWSCloudFormation/latest/UserGuide/aws-properties-ec2-network-interface-privateipspec.html" TargetMode="External"/><Relationship Id="rId19" Type="http://schemas.openxmlformats.org/officeDocument/2006/relationships/hyperlink" Target="http://docs.aws.amazon.com/AWSCloudFormation/latest/UserGuide/aws-properties-ec2-blockdev-template.html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ec2-security-group-ingress.html" TargetMode="External"/><Relationship Id="rId13" Type="http://schemas.openxmlformats.org/officeDocument/2006/relationships/hyperlink" Target="http://docs.aws.amazon.com/AWSCloudFormation/latest/UserGuide/aws-properties-ec2-security-group-ingress.html" TargetMode="External"/><Relationship Id="rId3" Type="http://schemas.openxmlformats.org/officeDocument/2006/relationships/hyperlink" Target="http://docs.aws.amazon.com/AWSCloudFormation/latest/UserGuide/aws-properties-ec2-security-group-ingress.html" TargetMode="External"/><Relationship Id="rId7" Type="http://schemas.openxmlformats.org/officeDocument/2006/relationships/hyperlink" Target="http://docs.aws.amazon.com/AWSCloudFormation/latest/UserGuide/aws-properties-ec2-security-group-ingress.html" TargetMode="External"/><Relationship Id="rId12" Type="http://schemas.openxmlformats.org/officeDocument/2006/relationships/hyperlink" Target="http://docs.aws.amazon.com/AWSCloudFormation/latest/UserGuide/aws-properties-ec2-security-group-ingress.html" TargetMode="External"/><Relationship Id="rId2" Type="http://schemas.openxmlformats.org/officeDocument/2006/relationships/hyperlink" Target="http://docs.aws.amazon.com/AWSCloudFormation/latest/UserGuide/aws-properties-ec2-security-group-ingress.html" TargetMode="External"/><Relationship Id="rId1" Type="http://schemas.openxmlformats.org/officeDocument/2006/relationships/hyperlink" Target="http://docs.aws.amazon.com/AWSCloudFormation/latest/UserGuide/aws-properties-ec2-security-group-ingress.html" TargetMode="External"/><Relationship Id="rId6" Type="http://schemas.openxmlformats.org/officeDocument/2006/relationships/hyperlink" Target="http://docs.aws.amazon.com/AWSCloudFormation/latest/UserGuide/aws-properties-ec2-security-group-ingress.html" TargetMode="External"/><Relationship Id="rId11" Type="http://schemas.openxmlformats.org/officeDocument/2006/relationships/hyperlink" Target="http://docs.aws.amazon.com/AWSCloudFormation/latest/UserGuide/aws-properties-ec2-security-group-ingress.html" TargetMode="External"/><Relationship Id="rId5" Type="http://schemas.openxmlformats.org/officeDocument/2006/relationships/hyperlink" Target="http://docs.aws.amazon.com/AWSCloudFormation/latest/UserGuide/aws-properties-ec2-security-group-ingress.html" TargetMode="External"/><Relationship Id="rId10" Type="http://schemas.openxmlformats.org/officeDocument/2006/relationships/hyperlink" Target="http://docs.aws.amazon.com/AWSCloudFormation/latest/UserGuide/aws-properties-ec2-security-group-ingress.html" TargetMode="External"/><Relationship Id="rId4" Type="http://schemas.openxmlformats.org/officeDocument/2006/relationships/hyperlink" Target="http://docs.aws.amazon.com/AWSCloudFormation/latest/UserGuide/aws-properties-ec2-security-group-ingress.html" TargetMode="External"/><Relationship Id="rId9" Type="http://schemas.openxmlformats.org/officeDocument/2006/relationships/hyperlink" Target="http://docs.aws.amazon.com/AWSCloudFormation/latest/UserGuide/aws-properties-ec2-security-group-ingress.html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security-group-egress.html" TargetMode="External"/><Relationship Id="rId3" Type="http://schemas.openxmlformats.org/officeDocument/2006/relationships/hyperlink" Target="http://docs.aws.amazon.com/AWSCloudFormation/latest/UserGuide/aws-resource-ec2-security-group-egress.html" TargetMode="External"/><Relationship Id="rId7" Type="http://schemas.openxmlformats.org/officeDocument/2006/relationships/hyperlink" Target="http://docs.aws.amazon.com/AWSCloudFormation/latest/UserGuide/aws-resource-ec2-security-group-egress.html" TargetMode="External"/><Relationship Id="rId2" Type="http://schemas.openxmlformats.org/officeDocument/2006/relationships/hyperlink" Target="http://docs.aws.amazon.com/AWSCloudFormation/latest/UserGuide/aws-resource-ec2-security-group-egress.html" TargetMode="External"/><Relationship Id="rId1" Type="http://schemas.openxmlformats.org/officeDocument/2006/relationships/hyperlink" Target="http://docs.aws.amazon.com/AWSCloudFormation/latest/UserGuide/aws-resource-ec2-security-group-egress.html" TargetMode="External"/><Relationship Id="rId6" Type="http://schemas.openxmlformats.org/officeDocument/2006/relationships/hyperlink" Target="http://docs.aws.amazon.com/AWSCloudFormation/latest/UserGuide/aws-resource-ec2-security-group-egress.html" TargetMode="External"/><Relationship Id="rId5" Type="http://schemas.openxmlformats.org/officeDocument/2006/relationships/hyperlink" Target="http://docs.aws.amazon.com/AWSCloudFormation/latest/UserGuide/aws-resource-ec2-security-group-egress.html" TargetMode="External"/><Relationship Id="rId10" Type="http://schemas.openxmlformats.org/officeDocument/2006/relationships/hyperlink" Target="http://docs.aws.amazon.com/AWSCloudFormation/latest/UserGuide/aws-resource-ec2-security-group-egress.html" TargetMode="External"/><Relationship Id="rId4" Type="http://schemas.openxmlformats.org/officeDocument/2006/relationships/hyperlink" Target="http://docs.aws.amazon.com/AWSCloudFormation/latest/UserGuide/aws-resource-ec2-security-group-egress.html" TargetMode="External"/><Relationship Id="rId9" Type="http://schemas.openxmlformats.org/officeDocument/2006/relationships/hyperlink" Target="http://docs.aws.amazon.com/AWSCloudFormation/latest/UserGuide/aws-resource-ec2-security-group-egress.html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route.html" TargetMode="External"/><Relationship Id="rId13" Type="http://schemas.openxmlformats.org/officeDocument/2006/relationships/hyperlink" Target="http://docs.aws.amazon.com/AWSCloudFormation/latest/UserGuide/aws-resource-ec2-route.html" TargetMode="External"/><Relationship Id="rId3" Type="http://schemas.openxmlformats.org/officeDocument/2006/relationships/hyperlink" Target="http://docs.aws.amazon.com/AWSCloudFormation/latest/UserGuide/aws-resource-ec2-route.html" TargetMode="External"/><Relationship Id="rId7" Type="http://schemas.openxmlformats.org/officeDocument/2006/relationships/hyperlink" Target="http://docs.aws.amazon.com/AWSCloudFormation/latest/UserGuide/aws-resource-ec2-route.html" TargetMode="External"/><Relationship Id="rId12" Type="http://schemas.openxmlformats.org/officeDocument/2006/relationships/hyperlink" Target="http://docs.aws.amazon.com/AWSCloudFormation/latest/UserGuide/aws-resource-ec2-route.html" TargetMode="External"/><Relationship Id="rId2" Type="http://schemas.openxmlformats.org/officeDocument/2006/relationships/hyperlink" Target="http://docs.aws.amazon.com/AWSCloudFormation/latest/UserGuide/aws-resource-ec2-route.html" TargetMode="External"/><Relationship Id="rId1" Type="http://schemas.openxmlformats.org/officeDocument/2006/relationships/hyperlink" Target="http://docs.aws.amazon.com/AWSCloudFormation/latest/UserGuide/aws-resource-ec2-route.html" TargetMode="External"/><Relationship Id="rId6" Type="http://schemas.openxmlformats.org/officeDocument/2006/relationships/hyperlink" Target="http://docs.aws.amazon.com/AWSCloudFormation/latest/UserGuide/aws-resource-ec2-route.html" TargetMode="External"/><Relationship Id="rId11" Type="http://schemas.openxmlformats.org/officeDocument/2006/relationships/hyperlink" Target="http://docs.aws.amazon.com/AWSCloudFormation/latest/UserGuide/aws-resource-ec2-route.html" TargetMode="External"/><Relationship Id="rId5" Type="http://schemas.openxmlformats.org/officeDocument/2006/relationships/hyperlink" Target="http://docs.aws.amazon.com/AWSCloudFormation/latest/UserGuide/aws-resource-ec2-route.html" TargetMode="External"/><Relationship Id="rId10" Type="http://schemas.openxmlformats.org/officeDocument/2006/relationships/hyperlink" Target="http://docs.aws.amazon.com/AWSCloudFormation/latest/UserGuide/aws-resource-ec2-route.html" TargetMode="External"/><Relationship Id="rId4" Type="http://schemas.openxmlformats.org/officeDocument/2006/relationships/hyperlink" Target="http://docs.aws.amazon.com/AWSCloudFormation/latest/UserGuide/aws-resource-ec2-route.html" TargetMode="External"/><Relationship Id="rId9" Type="http://schemas.openxmlformats.org/officeDocument/2006/relationships/hyperlink" Target="http://docs.aws.amazon.com/AWSCloudFormation/latest/UserGuide/aws-resource-ec2-route.html" TargetMode="External"/><Relationship Id="rId14" Type="http://schemas.openxmlformats.org/officeDocument/2006/relationships/hyperlink" Target="http://docs.aws.amazon.com/AWSCloudFormation/latest/UserGuide/aws-resource-ec2-route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E151"/>
  <sheetViews>
    <sheetView topLeftCell="A22" zoomScaleNormal="100" workbookViewId="0">
      <selection activeCell="B7" sqref="B7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1" spans="2:31">
      <c r="B1" t="s">
        <v>138</v>
      </c>
    </row>
    <row r="2" spans="2:31">
      <c r="D2" t="s">
        <v>112</v>
      </c>
    </row>
    <row r="3" spans="2:31">
      <c r="D3" t="s">
        <v>111</v>
      </c>
      <c r="O3" t="s">
        <v>89</v>
      </c>
      <c r="AB3" t="s">
        <v>87</v>
      </c>
    </row>
    <row r="4" spans="2:31">
      <c r="D4" t="s">
        <v>110</v>
      </c>
      <c r="N4" s="7" t="s">
        <v>83</v>
      </c>
      <c r="O4" s="7" t="s">
        <v>91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 t="s">
        <v>85</v>
      </c>
      <c r="AC4" s="7" t="s">
        <v>134</v>
      </c>
      <c r="AD4" s="7" t="s">
        <v>135</v>
      </c>
      <c r="AE4" s="7" t="s">
        <v>86</v>
      </c>
    </row>
    <row r="5" spans="2:31">
      <c r="B5" s="7" t="s">
        <v>88</v>
      </c>
      <c r="N5" s="6">
        <f>ROW()-4</f>
        <v>1</v>
      </c>
      <c r="P5" s="1" t="s">
        <v>81</v>
      </c>
      <c r="Q5" s="1"/>
      <c r="R5" s="1"/>
      <c r="S5" s="1"/>
      <c r="T5" s="1"/>
      <c r="U5" s="1"/>
      <c r="V5" s="1"/>
      <c r="W5" s="1"/>
      <c r="X5" s="1"/>
      <c r="Y5" s="1"/>
      <c r="Z5" s="1" t="s">
        <v>82</v>
      </c>
      <c r="AA5" s="1" t="s">
        <v>84</v>
      </c>
      <c r="AB5" s="1"/>
      <c r="AC5" s="1"/>
      <c r="AD5" s="1"/>
      <c r="AE5" s="1"/>
    </row>
    <row r="6" spans="2:31">
      <c r="B6" s="6" t="s">
        <v>253</v>
      </c>
      <c r="D6" t="s">
        <v>109</v>
      </c>
      <c r="N6" s="6">
        <f t="shared" ref="N6:N68" si="0">ROW()-4</f>
        <v>2</v>
      </c>
      <c r="P6" s="1"/>
      <c r="Q6" t="s">
        <v>3</v>
      </c>
    </row>
    <row r="7" spans="2:31">
      <c r="B7" s="10"/>
      <c r="D7" t="s">
        <v>92</v>
      </c>
      <c r="N7" s="6">
        <f t="shared" si="0"/>
        <v>3</v>
      </c>
      <c r="P7" s="1"/>
      <c r="Q7" t="s">
        <v>90</v>
      </c>
    </row>
    <row r="8" spans="2:31">
      <c r="B8" s="7" t="s">
        <v>137</v>
      </c>
      <c r="D8" t="s">
        <v>93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9" t="s">
        <v>227</v>
      </c>
      <c r="N9" s="6">
        <f t="shared" si="0"/>
        <v>5</v>
      </c>
      <c r="P9" s="1"/>
      <c r="Q9" s="2"/>
      <c r="R9" t="s">
        <v>4</v>
      </c>
    </row>
    <row r="10" spans="2:31">
      <c r="D10" t="s">
        <v>98</v>
      </c>
      <c r="N10" s="6">
        <f t="shared" si="0"/>
        <v>6</v>
      </c>
      <c r="P10" s="1"/>
      <c r="Q10" s="2"/>
      <c r="R10" t="s">
        <v>5</v>
      </c>
    </row>
    <row r="11" spans="2:31">
      <c r="B11" s="7" t="s">
        <v>0</v>
      </c>
      <c r="D11" t="s">
        <v>95</v>
      </c>
      <c r="N11" s="6">
        <f t="shared" si="0"/>
        <v>7</v>
      </c>
      <c r="P11" s="1"/>
      <c r="Q11" s="2"/>
      <c r="R11" t="s">
        <v>6</v>
      </c>
    </row>
    <row r="12" spans="2:31">
      <c r="B12" s="9" t="s">
        <v>115</v>
      </c>
      <c r="D12" t="s">
        <v>96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9" t="s">
        <v>116</v>
      </c>
      <c r="D13" t="s">
        <v>97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9" t="s">
        <v>117</v>
      </c>
      <c r="D14" t="s">
        <v>99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9" t="s">
        <v>209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9" t="s">
        <v>210</v>
      </c>
      <c r="D16" t="s">
        <v>101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9" t="s">
        <v>118</v>
      </c>
      <c r="D17" t="s">
        <v>100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9" t="s">
        <v>119</v>
      </c>
      <c r="D18" t="s">
        <v>105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9" t="s">
        <v>120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9" t="s">
        <v>121</v>
      </c>
      <c r="D20" t="s">
        <v>103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9" t="s">
        <v>123</v>
      </c>
      <c r="D21" t="s">
        <v>102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9" t="s">
        <v>124</v>
      </c>
      <c r="D22" t="s">
        <v>104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9" t="s">
        <v>125</v>
      </c>
      <c r="D23" t="s">
        <v>106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9" t="s">
        <v>122</v>
      </c>
      <c r="D24" t="s">
        <v>107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9" t="s">
        <v>208</v>
      </c>
      <c r="D25" t="s">
        <v>108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9" t="s">
        <v>207</v>
      </c>
      <c r="D26" t="s">
        <v>94</v>
      </c>
      <c r="N26" s="6">
        <f t="shared" si="0"/>
        <v>22</v>
      </c>
      <c r="P26" s="1"/>
      <c r="Q26" s="2"/>
      <c r="U26" t="s">
        <v>10</v>
      </c>
    </row>
    <row r="27" spans="2:21">
      <c r="B27" s="9" t="s">
        <v>212</v>
      </c>
      <c r="N27" s="6">
        <f t="shared" si="0"/>
        <v>23</v>
      </c>
      <c r="P27" s="1"/>
      <c r="U27" t="s">
        <v>11</v>
      </c>
    </row>
    <row r="28" spans="2:21">
      <c r="B28" s="9" t="s">
        <v>213</v>
      </c>
      <c r="N28" s="6">
        <f t="shared" si="0"/>
        <v>24</v>
      </c>
      <c r="U28" t="s">
        <v>12</v>
      </c>
    </row>
    <row r="29" spans="2:21">
      <c r="B29" s="9" t="s">
        <v>214</v>
      </c>
      <c r="N29" s="6">
        <f t="shared" si="0"/>
        <v>25</v>
      </c>
      <c r="U29" t="s">
        <v>13</v>
      </c>
    </row>
    <row r="30" spans="2:21">
      <c r="B30" s="9" t="s">
        <v>211</v>
      </c>
    </row>
    <row r="31" spans="2:21">
      <c r="B31" s="9" t="s">
        <v>206</v>
      </c>
      <c r="N31" s="6">
        <f t="shared" si="0"/>
        <v>27</v>
      </c>
      <c r="U31" t="s">
        <v>15</v>
      </c>
    </row>
    <row r="32" spans="2:21">
      <c r="B32" s="9"/>
      <c r="N32" s="6">
        <f t="shared" si="0"/>
        <v>28</v>
      </c>
      <c r="U32" t="s">
        <v>16</v>
      </c>
    </row>
    <row r="33" spans="2:21">
      <c r="B33" s="9"/>
      <c r="N33" s="6">
        <f t="shared" si="0"/>
        <v>29</v>
      </c>
      <c r="U33" t="s">
        <v>17</v>
      </c>
    </row>
    <row r="34" spans="2:21">
      <c r="B34" s="9"/>
      <c r="N34" s="6">
        <f t="shared" si="0"/>
        <v>30</v>
      </c>
      <c r="T34" t="s">
        <v>18</v>
      </c>
    </row>
    <row r="35" spans="2:21">
      <c r="B35" s="9"/>
      <c r="N35" s="6">
        <f t="shared" si="0"/>
        <v>31</v>
      </c>
      <c r="U35" t="s">
        <v>14</v>
      </c>
    </row>
    <row r="36" spans="2:21">
      <c r="B36" s="9"/>
      <c r="N36" s="6">
        <f t="shared" si="0"/>
        <v>32</v>
      </c>
      <c r="S36" t="s">
        <v>20</v>
      </c>
    </row>
    <row r="37" spans="2:21">
      <c r="B37" s="9"/>
      <c r="N37" s="6">
        <f t="shared" si="0"/>
        <v>33</v>
      </c>
      <c r="R37" t="s">
        <v>21</v>
      </c>
    </row>
    <row r="38" spans="2:21">
      <c r="B38" s="9"/>
      <c r="N38" s="6">
        <f t="shared" si="0"/>
        <v>34</v>
      </c>
      <c r="S38" t="s">
        <v>22</v>
      </c>
    </row>
    <row r="39" spans="2:21">
      <c r="B39" s="9"/>
      <c r="N39" s="6">
        <f t="shared" si="0"/>
        <v>35</v>
      </c>
      <c r="R39" t="s">
        <v>23</v>
      </c>
    </row>
    <row r="40" spans="2:21">
      <c r="B40" s="9"/>
      <c r="N40" s="6">
        <f t="shared" si="0"/>
        <v>36</v>
      </c>
      <c r="R40" t="s">
        <v>24</v>
      </c>
    </row>
    <row r="41" spans="2:21">
      <c r="B41" s="9"/>
      <c r="N41" s="6">
        <f t="shared" si="0"/>
        <v>37</v>
      </c>
      <c r="R41" t="s">
        <v>25</v>
      </c>
    </row>
    <row r="42" spans="2:21">
      <c r="B42" s="9"/>
      <c r="N42" s="6">
        <f t="shared" si="0"/>
        <v>38</v>
      </c>
      <c r="S42" t="s">
        <v>26</v>
      </c>
    </row>
    <row r="43" spans="2:21">
      <c r="B43" s="9"/>
      <c r="N43" s="6">
        <f t="shared" si="0"/>
        <v>39</v>
      </c>
      <c r="S43" t="s">
        <v>26</v>
      </c>
    </row>
    <row r="44" spans="2:21">
      <c r="B44" s="9"/>
      <c r="N44" s="6">
        <f t="shared" si="0"/>
        <v>40</v>
      </c>
      <c r="R44" t="s">
        <v>27</v>
      </c>
    </row>
    <row r="45" spans="2:21">
      <c r="B45" s="9"/>
      <c r="N45" s="6">
        <f t="shared" si="0"/>
        <v>41</v>
      </c>
      <c r="S45" t="e">
        <f>- Count: Integer</f>
        <v>#NAME?</v>
      </c>
    </row>
    <row r="46" spans="2:21">
      <c r="B46" s="9"/>
      <c r="N46" s="6">
        <f t="shared" si="0"/>
        <v>42</v>
      </c>
      <c r="T46" t="s">
        <v>28</v>
      </c>
    </row>
    <row r="47" spans="2:21">
      <c r="B47" s="9"/>
      <c r="N47" s="6">
        <f t="shared" si="0"/>
        <v>43</v>
      </c>
      <c r="S47" t="e">
        <f>- Count: Integer</f>
        <v>#NAME?</v>
      </c>
    </row>
    <row r="48" spans="2:21">
      <c r="B48" s="9"/>
      <c r="N48" s="6">
        <f t="shared" si="0"/>
        <v>44</v>
      </c>
      <c r="T48" t="s">
        <v>28</v>
      </c>
    </row>
    <row r="49" spans="2:19">
      <c r="B49" s="9"/>
      <c r="N49" s="6">
        <f t="shared" si="0"/>
        <v>45</v>
      </c>
      <c r="R49" t="s">
        <v>29</v>
      </c>
    </row>
    <row r="50" spans="2:19">
      <c r="B50" s="9"/>
      <c r="N50" s="6">
        <f t="shared" si="0"/>
        <v>46</v>
      </c>
      <c r="S50" t="s">
        <v>30</v>
      </c>
    </row>
    <row r="51" spans="2:19">
      <c r="B51" s="9"/>
      <c r="N51" s="6">
        <f t="shared" si="0"/>
        <v>47</v>
      </c>
      <c r="R51" t="s">
        <v>31</v>
      </c>
    </row>
    <row r="52" spans="2:19">
      <c r="B52" s="9"/>
      <c r="N52" s="6">
        <f t="shared" si="0"/>
        <v>48</v>
      </c>
      <c r="R52" t="s">
        <v>32</v>
      </c>
    </row>
    <row r="53" spans="2:19">
      <c r="N53" s="6">
        <f t="shared" si="0"/>
        <v>49</v>
      </c>
      <c r="R53" t="s">
        <v>33</v>
      </c>
    </row>
    <row r="54" spans="2:19">
      <c r="N54" s="6">
        <f t="shared" si="0"/>
        <v>50</v>
      </c>
      <c r="R54" t="s">
        <v>34</v>
      </c>
    </row>
    <row r="55" spans="2:19">
      <c r="N55" s="6">
        <f t="shared" si="0"/>
        <v>51</v>
      </c>
      <c r="R55" t="s">
        <v>35</v>
      </c>
    </row>
    <row r="56" spans="2:19">
      <c r="N56" s="6">
        <f t="shared" si="0"/>
        <v>52</v>
      </c>
      <c r="R56" t="s">
        <v>36</v>
      </c>
    </row>
    <row r="57" spans="2:19">
      <c r="N57" s="6">
        <f t="shared" si="0"/>
        <v>53</v>
      </c>
      <c r="R57" t="s">
        <v>37</v>
      </c>
    </row>
    <row r="58" spans="2:19">
      <c r="N58" s="6">
        <f t="shared" si="0"/>
        <v>54</v>
      </c>
      <c r="R58" t="s">
        <v>38</v>
      </c>
    </row>
    <row r="59" spans="2:19">
      <c r="N59" s="6">
        <f t="shared" si="0"/>
        <v>55</v>
      </c>
      <c r="S59" t="s">
        <v>39</v>
      </c>
    </row>
    <row r="60" spans="2:19">
      <c r="N60" s="6">
        <f t="shared" si="0"/>
        <v>56</v>
      </c>
      <c r="S60" t="s">
        <v>39</v>
      </c>
    </row>
    <row r="61" spans="2:19">
      <c r="N61" s="6">
        <f t="shared" si="0"/>
        <v>57</v>
      </c>
      <c r="R61" t="s">
        <v>40</v>
      </c>
    </row>
    <row r="62" spans="2:19">
      <c r="N62" s="6">
        <f t="shared" si="0"/>
        <v>58</v>
      </c>
      <c r="R62" t="s">
        <v>41</v>
      </c>
    </row>
    <row r="63" spans="2:19">
      <c r="N63" s="6">
        <f t="shared" si="0"/>
        <v>59</v>
      </c>
      <c r="R63" t="s">
        <v>42</v>
      </c>
    </row>
    <row r="64" spans="2:19">
      <c r="N64" s="6">
        <f t="shared" si="0"/>
        <v>60</v>
      </c>
      <c r="S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R67" t="s">
        <v>46</v>
      </c>
    </row>
    <row r="68" spans="14:21">
      <c r="N68" s="6">
        <f t="shared" si="0"/>
        <v>64</v>
      </c>
      <c r="S68" t="s">
        <v>47</v>
      </c>
    </row>
    <row r="69" spans="14:21">
      <c r="N69" s="6">
        <f t="shared" ref="N69:N77" si="1">ROW()-4</f>
        <v>65</v>
      </c>
      <c r="S69" t="s">
        <v>47</v>
      </c>
    </row>
    <row r="70" spans="14:21">
      <c r="N70" s="6">
        <f t="shared" si="1"/>
        <v>66</v>
      </c>
      <c r="R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S72" t="e">
        <f>- DeleteOnTermination: Boolean</f>
        <v>#NAME?</v>
      </c>
    </row>
    <row r="73" spans="14:21">
      <c r="N73" s="6">
        <f t="shared" si="1"/>
        <v>69</v>
      </c>
      <c r="T73" t="s">
        <v>50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U77" t="s">
        <v>54</v>
      </c>
    </row>
    <row r="78" spans="14:21">
      <c r="U78" t="s">
        <v>54</v>
      </c>
    </row>
    <row r="79" spans="14:21">
      <c r="T79" t="s">
        <v>37</v>
      </c>
    </row>
    <row r="80" spans="14:21">
      <c r="T80" t="s">
        <v>38</v>
      </c>
    </row>
    <row r="81" spans="19:22">
      <c r="U81" t="s">
        <v>55</v>
      </c>
      <c r="V81" t="s">
        <v>56</v>
      </c>
    </row>
    <row r="82" spans="19:22">
      <c r="U82" t="s">
        <v>55</v>
      </c>
      <c r="V82" t="s">
        <v>56</v>
      </c>
    </row>
    <row r="83" spans="19:22">
      <c r="T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U86" t="e">
        <f>- Primary: Boolean</f>
        <v>#NAME?</v>
      </c>
    </row>
    <row r="87" spans="19:22">
      <c r="V87" t="s">
        <v>58</v>
      </c>
    </row>
    <row r="88" spans="19:22">
      <c r="U88" t="e">
        <f>- Primary: Boolean</f>
        <v>#NAME?</v>
      </c>
    </row>
    <row r="89" spans="19:22">
      <c r="V89" t="s">
        <v>58</v>
      </c>
    </row>
    <row r="90" spans="19:22">
      <c r="T90" t="s">
        <v>60</v>
      </c>
    </row>
    <row r="91" spans="19:22">
      <c r="T91" t="s">
        <v>61</v>
      </c>
    </row>
    <row r="92" spans="19:22">
      <c r="S92" t="e">
        <f>- DeleteOnTermination: Boolean</f>
        <v>#NAME?</v>
      </c>
    </row>
    <row r="93" spans="19:22">
      <c r="T93" t="s">
        <v>50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18:22">
      <c r="U97" t="s">
        <v>54</v>
      </c>
    </row>
    <row r="98" spans="18:22">
      <c r="U98" t="s">
        <v>54</v>
      </c>
    </row>
    <row r="99" spans="18:22">
      <c r="T99" t="s">
        <v>37</v>
      </c>
    </row>
    <row r="100" spans="18:22">
      <c r="T100" t="s">
        <v>38</v>
      </c>
    </row>
    <row r="101" spans="18:22">
      <c r="U101" t="s">
        <v>55</v>
      </c>
      <c r="V101" t="s">
        <v>56</v>
      </c>
    </row>
    <row r="102" spans="18:22">
      <c r="U102" t="s">
        <v>55</v>
      </c>
      <c r="V102" t="s">
        <v>56</v>
      </c>
    </row>
    <row r="103" spans="18:22">
      <c r="T103" t="s">
        <v>57</v>
      </c>
    </row>
    <row r="104" spans="18:22">
      <c r="T104" t="s">
        <v>58</v>
      </c>
    </row>
    <row r="105" spans="18:22">
      <c r="T105" t="s">
        <v>59</v>
      </c>
    </row>
    <row r="106" spans="18:22">
      <c r="U106" t="e">
        <f>- Primary: Boolean</f>
        <v>#NAME?</v>
      </c>
    </row>
    <row r="107" spans="18:22">
      <c r="V107" t="s">
        <v>58</v>
      </c>
    </row>
    <row r="108" spans="18:22">
      <c r="U108" t="e">
        <f>- Primary: Boolean</f>
        <v>#NAME?</v>
      </c>
    </row>
    <row r="109" spans="18:22">
      <c r="V109" t="s">
        <v>58</v>
      </c>
    </row>
    <row r="110" spans="18:22">
      <c r="T110" t="s">
        <v>60</v>
      </c>
    </row>
    <row r="111" spans="18:22">
      <c r="T111" t="s">
        <v>61</v>
      </c>
    </row>
    <row r="112" spans="18:22">
      <c r="R112" t="s">
        <v>62</v>
      </c>
    </row>
    <row r="113" spans="18:21">
      <c r="R113" t="s">
        <v>58</v>
      </c>
    </row>
    <row r="114" spans="18:21">
      <c r="R114" t="s">
        <v>63</v>
      </c>
    </row>
    <row r="115" spans="18:21">
      <c r="R115" t="s">
        <v>64</v>
      </c>
    </row>
    <row r="116" spans="18:21">
      <c r="S116" t="s">
        <v>54</v>
      </c>
    </row>
    <row r="117" spans="18:21">
      <c r="S117" t="s">
        <v>54</v>
      </c>
    </row>
    <row r="118" spans="18:21">
      <c r="R118" t="s">
        <v>65</v>
      </c>
    </row>
    <row r="119" spans="18:21">
      <c r="S119" t="s">
        <v>54</v>
      </c>
    </row>
    <row r="120" spans="18:21">
      <c r="S120" t="s">
        <v>54</v>
      </c>
    </row>
    <row r="121" spans="18:21">
      <c r="R121" t="s">
        <v>66</v>
      </c>
    </row>
    <row r="122" spans="18:21">
      <c r="R122" t="s">
        <v>67</v>
      </c>
    </row>
    <row r="123" spans="18:21">
      <c r="S123" t="s">
        <v>68</v>
      </c>
    </row>
    <row r="124" spans="18:21">
      <c r="T124" t="s">
        <v>69</v>
      </c>
    </row>
    <row r="125" spans="18:21">
      <c r="T125" t="s">
        <v>70</v>
      </c>
    </row>
    <row r="126" spans="18:21">
      <c r="U126" t="s">
        <v>54</v>
      </c>
    </row>
    <row r="127" spans="18:21">
      <c r="U127" t="s">
        <v>54</v>
      </c>
    </row>
    <row r="128" spans="18:21">
      <c r="T128" t="s">
        <v>71</v>
      </c>
    </row>
    <row r="129" spans="18:21">
      <c r="S129" t="s">
        <v>68</v>
      </c>
    </row>
    <row r="130" spans="18:21">
      <c r="T130" t="s">
        <v>69</v>
      </c>
    </row>
    <row r="131" spans="18:21">
      <c r="T131" t="s">
        <v>70</v>
      </c>
    </row>
    <row r="132" spans="18:21">
      <c r="U132" t="s">
        <v>54</v>
      </c>
    </row>
    <row r="133" spans="18:21">
      <c r="U133" t="s">
        <v>54</v>
      </c>
    </row>
    <row r="134" spans="18:21">
      <c r="T134" t="s">
        <v>71</v>
      </c>
    </row>
    <row r="135" spans="18:21">
      <c r="R135" t="s">
        <v>61</v>
      </c>
    </row>
    <row r="136" spans="18:21">
      <c r="R136" t="s">
        <v>2</v>
      </c>
    </row>
    <row r="137" spans="18:21">
      <c r="R137" t="e">
        <f>- Key: Name</f>
        <v>#NAME?</v>
      </c>
    </row>
    <row r="138" spans="18:21">
      <c r="S138" t="s">
        <v>72</v>
      </c>
    </row>
    <row r="139" spans="18:21">
      <c r="R139" t="e">
        <f>- Key: CloudFormation File</f>
        <v>#NAME?</v>
      </c>
    </row>
    <row r="140" spans="18:21">
      <c r="S140" t="s">
        <v>73</v>
      </c>
    </row>
    <row r="141" spans="18:21">
      <c r="R141" t="s">
        <v>74</v>
      </c>
    </row>
    <row r="142" spans="18:21">
      <c r="S142" t="s">
        <v>75</v>
      </c>
    </row>
    <row r="143" spans="18:21">
      <c r="R143" t="s">
        <v>74</v>
      </c>
    </row>
    <row r="144" spans="18:21">
      <c r="S144" t="s">
        <v>75</v>
      </c>
    </row>
    <row r="145" spans="18:20">
      <c r="R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T149" t="s">
        <v>80</v>
      </c>
    </row>
    <row r="150" spans="18:20">
      <c r="R150" t="s">
        <v>79</v>
      </c>
    </row>
    <row r="151" spans="18:20">
      <c r="T151" t="s">
        <v>80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34"/>
  <sheetViews>
    <sheetView tabSelected="1" workbookViewId="0"/>
  </sheetViews>
  <sheetFormatPr defaultRowHeight="18.75"/>
  <cols>
    <col min="1" max="2" width="4.75" style="8" customWidth="1"/>
    <col min="3" max="3" width="22" style="8" bestFit="1" customWidth="1"/>
    <col min="4" max="4" width="19.875" style="8" customWidth="1"/>
    <col min="5" max="5" width="102.125" style="8" customWidth="1"/>
    <col min="6" max="16384" width="9" style="8"/>
  </cols>
  <sheetData>
    <row r="2" spans="3:5" hidden="1"/>
    <row r="3" spans="3:5" hidden="1"/>
    <row r="4" spans="3:5" hidden="1"/>
    <row r="5" spans="3:5" hidden="1"/>
    <row r="8" spans="3:5">
      <c r="C8" s="7" t="s">
        <v>126</v>
      </c>
      <c r="D8" s="7" t="s">
        <v>127</v>
      </c>
      <c r="E8" s="7" t="s">
        <v>128</v>
      </c>
    </row>
    <row r="9" spans="3:5" ht="93.75">
      <c r="C9" s="11" t="s">
        <v>136</v>
      </c>
      <c r="D9" s="12" t="s">
        <v>129</v>
      </c>
      <c r="E9" s="13" t="s">
        <v>130</v>
      </c>
    </row>
    <row r="10" spans="3:5">
      <c r="C10" s="9" t="s">
        <v>131</v>
      </c>
      <c r="D10" s="9" t="s">
        <v>255</v>
      </c>
      <c r="E10" s="9" t="s">
        <v>132</v>
      </c>
    </row>
    <row r="11" spans="3:5">
      <c r="C11" s="9" t="s">
        <v>133</v>
      </c>
      <c r="D11" s="9" t="s">
        <v>251</v>
      </c>
      <c r="E11" s="9"/>
    </row>
    <row r="12" spans="3:5">
      <c r="C12" s="9" t="s">
        <v>217</v>
      </c>
      <c r="D12" s="9" t="s">
        <v>251</v>
      </c>
      <c r="E12" s="9"/>
    </row>
    <row r="13" spans="3:5">
      <c r="C13" s="9" t="s">
        <v>218</v>
      </c>
      <c r="D13" s="9" t="s">
        <v>251</v>
      </c>
      <c r="E13" s="9"/>
    </row>
    <row r="14" spans="3:5">
      <c r="C14" s="9" t="s">
        <v>222</v>
      </c>
      <c r="D14" s="9" t="s">
        <v>251</v>
      </c>
      <c r="E14" s="9"/>
    </row>
    <row r="15" spans="3:5">
      <c r="C15" s="9" t="s">
        <v>219</v>
      </c>
      <c r="D15" s="9" t="s">
        <v>249</v>
      </c>
      <c r="E15" s="9"/>
    </row>
    <row r="16" spans="3:5">
      <c r="C16" s="9" t="s">
        <v>220</v>
      </c>
      <c r="D16" s="9" t="s">
        <v>250</v>
      </c>
      <c r="E16" s="9"/>
    </row>
    <row r="17" spans="3:5">
      <c r="C17" s="9" t="s">
        <v>223</v>
      </c>
      <c r="D17" s="9" t="s">
        <v>231</v>
      </c>
      <c r="E17" s="9"/>
    </row>
    <row r="18" spans="3:5">
      <c r="C18" s="9" t="s">
        <v>224</v>
      </c>
      <c r="D18" s="9" t="s">
        <v>232</v>
      </c>
      <c r="E18" s="9"/>
    </row>
    <row r="19" spans="3:5">
      <c r="C19" s="9" t="s">
        <v>221</v>
      </c>
      <c r="D19" s="9" t="s">
        <v>233</v>
      </c>
      <c r="E19" s="9"/>
    </row>
    <row r="20" spans="3:5">
      <c r="C20" s="9" t="s">
        <v>225</v>
      </c>
      <c r="D20" s="9" t="s">
        <v>234</v>
      </c>
      <c r="E20" s="9"/>
    </row>
    <row r="21" spans="3:5">
      <c r="C21" s="9" t="s">
        <v>226</v>
      </c>
      <c r="D21" s="9" t="s">
        <v>235</v>
      </c>
      <c r="E21" s="9"/>
    </row>
    <row r="22" spans="3:5">
      <c r="C22" s="9"/>
      <c r="D22" s="9"/>
      <c r="E22" s="9"/>
    </row>
    <row r="23" spans="3:5">
      <c r="C23" s="9"/>
      <c r="D23" s="9"/>
      <c r="E23" s="9"/>
    </row>
    <row r="24" spans="3:5">
      <c r="C24" s="9"/>
      <c r="D24" s="9"/>
      <c r="E24" s="9"/>
    </row>
    <row r="25" spans="3:5">
      <c r="C25" s="9"/>
      <c r="D25" s="9"/>
      <c r="E25" s="9"/>
    </row>
    <row r="26" spans="3:5">
      <c r="C26" s="9"/>
      <c r="D26" s="9"/>
      <c r="E26" s="9"/>
    </row>
    <row r="31" spans="3:5">
      <c r="D31" s="9" t="s">
        <v>245</v>
      </c>
    </row>
    <row r="32" spans="3:5">
      <c r="D32" s="9" t="s">
        <v>246</v>
      </c>
    </row>
    <row r="33" spans="4:4">
      <c r="D33" s="9" t="s">
        <v>247</v>
      </c>
    </row>
    <row r="34" spans="4:4">
      <c r="D34" s="9" t="s">
        <v>248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276225</xdr:colOff>
                    <xdr:row>0</xdr:row>
                    <xdr:rowOff>152400</xdr:rowOff>
                  </from>
                  <to>
                    <xdr:col>3</xdr:col>
                    <xdr:colOff>1047750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>
      <selection activeCell="C9" sqref="C9"/>
    </sheetView>
  </sheetViews>
  <sheetFormatPr defaultRowHeight="18.75"/>
  <cols>
    <col min="1" max="1" width="4" customWidth="1"/>
    <col min="2" max="2" width="45.625" bestFit="1" customWidth="1"/>
    <col min="3" max="3" width="44" bestFit="1" customWidth="1"/>
  </cols>
  <sheetData>
    <row r="2" spans="2:3">
      <c r="B2" s="7" t="s">
        <v>113</v>
      </c>
      <c r="C2" s="7" t="s">
        <v>114</v>
      </c>
    </row>
    <row r="3" spans="2:3">
      <c r="B3" s="6" t="s">
        <v>237</v>
      </c>
      <c r="C3" s="6" t="s">
        <v>306</v>
      </c>
    </row>
    <row r="4" spans="2:3">
      <c r="B4" s="6" t="s">
        <v>238</v>
      </c>
      <c r="C4" s="6" t="s">
        <v>307</v>
      </c>
    </row>
    <row r="5" spans="2:3">
      <c r="B5" s="6" t="s">
        <v>239</v>
      </c>
      <c r="C5" s="6" t="s">
        <v>308</v>
      </c>
    </row>
    <row r="6" spans="2:3">
      <c r="B6" s="6" t="s">
        <v>240</v>
      </c>
      <c r="C6" s="6" t="s">
        <v>309</v>
      </c>
    </row>
    <row r="7" spans="2:3">
      <c r="B7" s="6" t="s">
        <v>240</v>
      </c>
      <c r="C7" s="6" t="s">
        <v>310</v>
      </c>
    </row>
    <row r="8" spans="2:3">
      <c r="B8" s="6" t="s">
        <v>240</v>
      </c>
      <c r="C8" s="6" t="s">
        <v>311</v>
      </c>
    </row>
    <row r="9" spans="2:3">
      <c r="B9" s="6" t="s">
        <v>240</v>
      </c>
      <c r="C9" s="6" t="s">
        <v>304</v>
      </c>
    </row>
    <row r="10" spans="2:3">
      <c r="B10" s="6" t="s">
        <v>240</v>
      </c>
      <c r="C10" s="6" t="s">
        <v>312</v>
      </c>
    </row>
    <row r="11" spans="2:3">
      <c r="B11" s="6" t="s">
        <v>240</v>
      </c>
      <c r="C11" s="6" t="s">
        <v>313</v>
      </c>
    </row>
    <row r="12" spans="2:3">
      <c r="B12" s="6" t="s">
        <v>241</v>
      </c>
      <c r="C12" s="6" t="s">
        <v>298</v>
      </c>
    </row>
    <row r="13" spans="2:3">
      <c r="B13" s="6" t="s">
        <v>241</v>
      </c>
      <c r="C13" s="6" t="s">
        <v>299</v>
      </c>
    </row>
    <row r="14" spans="2:3">
      <c r="B14" s="6" t="s">
        <v>241</v>
      </c>
      <c r="C14" s="6" t="s">
        <v>300</v>
      </c>
    </row>
    <row r="15" spans="2:3">
      <c r="B15" s="6" t="s">
        <v>241</v>
      </c>
      <c r="C15" s="6" t="s">
        <v>314</v>
      </c>
    </row>
    <row r="16" spans="2:3">
      <c r="B16" s="6" t="s">
        <v>242</v>
      </c>
      <c r="C16" s="6" t="s">
        <v>315</v>
      </c>
    </row>
    <row r="17" spans="2:3">
      <c r="B17" s="6" t="s">
        <v>243</v>
      </c>
      <c r="C17" s="6" t="s">
        <v>305</v>
      </c>
    </row>
    <row r="18" spans="2:3">
      <c r="B18" s="6" t="s">
        <v>243</v>
      </c>
      <c r="C18" s="6" t="s">
        <v>278</v>
      </c>
    </row>
    <row r="19" spans="2:3">
      <c r="B19" s="6" t="s">
        <v>243</v>
      </c>
      <c r="C19" s="6" t="s">
        <v>316</v>
      </c>
    </row>
    <row r="20" spans="2:3">
      <c r="B20" s="6" t="s">
        <v>244</v>
      </c>
      <c r="C20" s="6" t="s">
        <v>317</v>
      </c>
    </row>
    <row r="21" spans="2:3">
      <c r="B21" s="6" t="s">
        <v>244</v>
      </c>
      <c r="C21" s="6" t="s">
        <v>319</v>
      </c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>
      <selection activeCell="B12" sqref="B12"/>
    </sheetView>
  </sheetViews>
  <sheetFormatPr defaultRowHeight="18.75"/>
  <cols>
    <col min="1" max="1" width="4" customWidth="1"/>
    <col min="2" max="2" width="45.625" bestFit="1" customWidth="1"/>
    <col min="3" max="3" width="44" bestFit="1" customWidth="1"/>
  </cols>
  <sheetData>
    <row r="2" spans="2:3">
      <c r="B2" s="7" t="s">
        <v>113</v>
      </c>
      <c r="C2" s="7" t="s">
        <v>114</v>
      </c>
    </row>
    <row r="3" spans="2:3">
      <c r="B3" s="6" t="s">
        <v>244</v>
      </c>
      <c r="C3" s="6" t="s">
        <v>317</v>
      </c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5B422-32AE-4F1F-9F68-A20C24514CD9}">
  <dimension ref="A1:V155"/>
  <sheetViews>
    <sheetView showGridLines="0" zoomScaleNormal="100" workbookViewId="0">
      <pane xSplit="21" ySplit="4" topLeftCell="V101" activePane="bottomRight" state="frozen"/>
      <selection pane="topRight" activeCell="V1" sqref="V1"/>
      <selection pane="bottomLeft" activeCell="A5" sqref="A5"/>
      <selection pane="bottomRight" activeCell="V150" sqref="V150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48.625" style="8" customWidth="1"/>
  </cols>
  <sheetData>
    <row r="1" spans="1:22">
      <c r="A1" s="14" t="s">
        <v>139</v>
      </c>
    </row>
    <row r="2" spans="1:22">
      <c r="B2" s="7" t="s">
        <v>148</v>
      </c>
      <c r="C2" s="7" t="s">
        <v>149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150</v>
      </c>
      <c r="T2" s="7" t="s">
        <v>151</v>
      </c>
      <c r="U2" s="7" t="s">
        <v>139</v>
      </c>
      <c r="V2" s="7" t="str">
        <f>"Value" &amp; COLUMN() -  21</f>
        <v>Value1</v>
      </c>
    </row>
    <row r="3" spans="1:22">
      <c r="B3" s="33">
        <f t="shared" ref="B3:B34" si="0">ROW()-2</f>
        <v>1</v>
      </c>
      <c r="C3" s="17"/>
      <c r="D3" s="34" t="s">
        <v>140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3" t="s">
        <v>141</v>
      </c>
      <c r="T3" s="9" t="s">
        <v>142</v>
      </c>
      <c r="U3" s="9"/>
      <c r="V3" s="9" t="str">
        <f>Setting!$D$10&amp;"-"&amp;"ec2-nat-basion"</f>
        <v>mkayano2-ec2-nat-basion</v>
      </c>
    </row>
    <row r="4" spans="1:22">
      <c r="B4" s="33">
        <f t="shared" si="0"/>
        <v>2</v>
      </c>
      <c r="C4" s="17"/>
      <c r="D4" s="22"/>
      <c r="E4" s="36" t="s">
        <v>3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7" t="s">
        <v>143</v>
      </c>
      <c r="T4" s="38" t="s">
        <v>144</v>
      </c>
      <c r="U4" s="21"/>
      <c r="V4" s="21"/>
    </row>
    <row r="5" spans="1:22">
      <c r="B5" s="33">
        <f t="shared" si="0"/>
        <v>3</v>
      </c>
      <c r="C5" s="17"/>
      <c r="D5" s="22"/>
      <c r="E5" s="36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7" t="s">
        <v>143</v>
      </c>
      <c r="T5" s="20" t="s">
        <v>143</v>
      </c>
      <c r="U5" s="21"/>
      <c r="V5" s="21"/>
    </row>
    <row r="6" spans="1:22">
      <c r="B6" s="33">
        <f t="shared" si="0"/>
        <v>4</v>
      </c>
      <c r="C6" s="17"/>
      <c r="D6" s="22"/>
      <c r="E6" s="18"/>
      <c r="F6" s="34" t="s">
        <v>158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3" t="s">
        <v>141</v>
      </c>
      <c r="T6" s="35" t="s">
        <v>144</v>
      </c>
      <c r="U6" s="9"/>
      <c r="V6" s="9"/>
    </row>
    <row r="7" spans="1:22">
      <c r="B7" s="33">
        <f t="shared" si="0"/>
        <v>5</v>
      </c>
      <c r="C7" s="17"/>
      <c r="D7" s="22"/>
      <c r="E7" s="18"/>
      <c r="F7" s="34" t="s">
        <v>159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3" t="s">
        <v>141</v>
      </c>
      <c r="T7" s="35" t="s">
        <v>144</v>
      </c>
      <c r="U7" s="9"/>
      <c r="V7" s="9"/>
    </row>
    <row r="8" spans="1:22">
      <c r="B8" s="33">
        <f t="shared" si="0"/>
        <v>6</v>
      </c>
      <c r="C8" s="17"/>
      <c r="D8" s="22"/>
      <c r="E8" s="18"/>
      <c r="F8" s="34" t="s">
        <v>153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3" t="s">
        <v>141</v>
      </c>
      <c r="T8" s="35" t="s">
        <v>144</v>
      </c>
      <c r="U8" s="9"/>
      <c r="V8" s="9"/>
    </row>
    <row r="9" spans="1:22">
      <c r="B9" s="33">
        <f t="shared" si="0"/>
        <v>7</v>
      </c>
      <c r="C9" s="17"/>
      <c r="D9" s="22"/>
      <c r="E9" s="18"/>
      <c r="F9" s="39" t="s">
        <v>7</v>
      </c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4"/>
      <c r="S9" s="40" t="s">
        <v>143</v>
      </c>
      <c r="T9" s="41" t="s">
        <v>144</v>
      </c>
      <c r="U9" s="25"/>
      <c r="V9" s="25"/>
    </row>
    <row r="10" spans="1:22">
      <c r="B10" s="33">
        <f t="shared" si="0"/>
        <v>8</v>
      </c>
      <c r="C10" s="17"/>
      <c r="D10" s="22"/>
      <c r="E10" s="18"/>
      <c r="F10" s="23"/>
      <c r="G10" s="49" t="s">
        <v>146</v>
      </c>
      <c r="H10" s="34" t="s">
        <v>160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3" t="s">
        <v>141</v>
      </c>
      <c r="T10" s="35" t="s">
        <v>144</v>
      </c>
      <c r="U10" s="9"/>
      <c r="V10" s="9" t="s">
        <v>254</v>
      </c>
    </row>
    <row r="11" spans="1:22">
      <c r="B11" s="33">
        <f t="shared" si="0"/>
        <v>9</v>
      </c>
      <c r="C11" s="17"/>
      <c r="D11" s="22"/>
      <c r="E11" s="18"/>
      <c r="F11" s="23"/>
      <c r="G11" s="15"/>
      <c r="H11" s="43" t="s">
        <v>9</v>
      </c>
      <c r="I11" s="26"/>
      <c r="J11" s="26"/>
      <c r="K11" s="26"/>
      <c r="L11" s="26"/>
      <c r="M11" s="26"/>
      <c r="N11" s="26"/>
      <c r="O11" s="26"/>
      <c r="P11" s="26"/>
      <c r="Q11" s="26"/>
      <c r="R11" s="27"/>
      <c r="S11" s="44" t="s">
        <v>143</v>
      </c>
      <c r="T11" s="45" t="s">
        <v>144</v>
      </c>
      <c r="U11" s="28"/>
      <c r="V11" s="28"/>
    </row>
    <row r="12" spans="1:22">
      <c r="B12" s="33">
        <f t="shared" si="0"/>
        <v>10</v>
      </c>
      <c r="C12" s="17"/>
      <c r="D12" s="22"/>
      <c r="E12" s="18"/>
      <c r="F12" s="23"/>
      <c r="G12" s="15"/>
      <c r="H12" s="26"/>
      <c r="I12" s="34" t="s">
        <v>161</v>
      </c>
      <c r="J12" s="15"/>
      <c r="K12" s="15"/>
      <c r="L12" s="15"/>
      <c r="M12" s="15"/>
      <c r="N12" s="15"/>
      <c r="O12" s="15"/>
      <c r="P12" s="15"/>
      <c r="Q12" s="15"/>
      <c r="R12" s="16"/>
      <c r="S12" s="33" t="s">
        <v>145</v>
      </c>
      <c r="T12" s="35" t="s">
        <v>144</v>
      </c>
      <c r="U12" s="9"/>
      <c r="V12" s="9" t="s">
        <v>228</v>
      </c>
    </row>
    <row r="13" spans="1:22">
      <c r="B13" s="33">
        <f t="shared" si="0"/>
        <v>11</v>
      </c>
      <c r="C13" s="17"/>
      <c r="D13" s="22"/>
      <c r="E13" s="18"/>
      <c r="F13" s="23"/>
      <c r="G13" s="15"/>
      <c r="H13" s="26"/>
      <c r="I13" s="34" t="s">
        <v>162</v>
      </c>
      <c r="J13" s="15"/>
      <c r="K13" s="15"/>
      <c r="L13" s="15"/>
      <c r="M13" s="15"/>
      <c r="N13" s="15"/>
      <c r="O13" s="15"/>
      <c r="P13" s="15"/>
      <c r="Q13" s="15"/>
      <c r="R13" s="16"/>
      <c r="S13" s="33" t="s">
        <v>145</v>
      </c>
      <c r="T13" s="35" t="s">
        <v>144</v>
      </c>
      <c r="U13" s="9"/>
      <c r="V13" s="9" t="s">
        <v>228</v>
      </c>
    </row>
    <row r="14" spans="1:22">
      <c r="B14" s="33">
        <f t="shared" si="0"/>
        <v>12</v>
      </c>
      <c r="C14" s="17"/>
      <c r="D14" s="22"/>
      <c r="E14" s="18"/>
      <c r="F14" s="23"/>
      <c r="G14" s="15"/>
      <c r="H14" s="26"/>
      <c r="I14" s="34" t="s">
        <v>163</v>
      </c>
      <c r="J14" s="15"/>
      <c r="K14" s="15"/>
      <c r="L14" s="15"/>
      <c r="M14" s="15"/>
      <c r="N14" s="15"/>
      <c r="O14" s="15"/>
      <c r="P14" s="15"/>
      <c r="Q14" s="15"/>
      <c r="R14" s="16"/>
      <c r="S14" s="33" t="s">
        <v>152</v>
      </c>
      <c r="T14" s="35" t="s">
        <v>144</v>
      </c>
      <c r="U14" s="9"/>
      <c r="V14" s="9">
        <v>3000</v>
      </c>
    </row>
    <row r="15" spans="1:22">
      <c r="B15" s="33">
        <f t="shared" si="0"/>
        <v>13</v>
      </c>
      <c r="C15" s="17"/>
      <c r="D15" s="22"/>
      <c r="E15" s="18"/>
      <c r="F15" s="23"/>
      <c r="G15" s="15"/>
      <c r="H15" s="26"/>
      <c r="I15" s="34" t="s">
        <v>164</v>
      </c>
      <c r="J15" s="15"/>
      <c r="K15" s="15"/>
      <c r="L15" s="15"/>
      <c r="M15" s="15"/>
      <c r="N15" s="15"/>
      <c r="O15" s="15"/>
      <c r="P15" s="15"/>
      <c r="Q15" s="15"/>
      <c r="R15" s="16"/>
      <c r="S15" s="33" t="s">
        <v>141</v>
      </c>
      <c r="T15" s="35" t="s">
        <v>144</v>
      </c>
      <c r="U15" s="9"/>
      <c r="V15" s="9"/>
    </row>
    <row r="16" spans="1:22">
      <c r="B16" s="33">
        <f t="shared" si="0"/>
        <v>14</v>
      </c>
      <c r="C16" s="17"/>
      <c r="D16" s="22"/>
      <c r="E16" s="18"/>
      <c r="F16" s="23"/>
      <c r="G16" s="15"/>
      <c r="H16" s="26"/>
      <c r="I16" s="34" t="s">
        <v>165</v>
      </c>
      <c r="J16" s="15"/>
      <c r="K16" s="15"/>
      <c r="L16" s="15"/>
      <c r="M16" s="15"/>
      <c r="N16" s="15"/>
      <c r="O16" s="15"/>
      <c r="P16" s="15"/>
      <c r="Q16" s="15"/>
      <c r="R16" s="16"/>
      <c r="S16" s="33" t="s">
        <v>141</v>
      </c>
      <c r="T16" s="35" t="s">
        <v>144</v>
      </c>
      <c r="U16" s="9"/>
      <c r="V16" s="9"/>
    </row>
    <row r="17" spans="2:22">
      <c r="B17" s="33">
        <f t="shared" si="0"/>
        <v>15</v>
      </c>
      <c r="C17" s="17"/>
      <c r="D17" s="22"/>
      <c r="E17" s="18"/>
      <c r="F17" s="23"/>
      <c r="G17" s="15"/>
      <c r="H17" s="26"/>
      <c r="I17" s="34" t="s">
        <v>166</v>
      </c>
      <c r="J17" s="15"/>
      <c r="K17" s="15"/>
      <c r="L17" s="15"/>
      <c r="M17" s="15"/>
      <c r="N17" s="15"/>
      <c r="O17" s="15"/>
      <c r="P17" s="15"/>
      <c r="Q17" s="15"/>
      <c r="R17" s="16"/>
      <c r="S17" s="33" t="s">
        <v>152</v>
      </c>
      <c r="T17" s="35" t="s">
        <v>144</v>
      </c>
      <c r="U17" s="9"/>
      <c r="V17" s="9">
        <v>8</v>
      </c>
    </row>
    <row r="18" spans="2:22">
      <c r="B18" s="33">
        <f t="shared" si="0"/>
        <v>16</v>
      </c>
      <c r="C18" s="17"/>
      <c r="D18" s="22"/>
      <c r="E18" s="18"/>
      <c r="F18" s="23"/>
      <c r="G18" s="15"/>
      <c r="H18" s="26"/>
      <c r="I18" s="34" t="s">
        <v>167</v>
      </c>
      <c r="J18" s="15"/>
      <c r="K18" s="15"/>
      <c r="L18" s="15"/>
      <c r="M18" s="15"/>
      <c r="N18" s="15"/>
      <c r="O18" s="15"/>
      <c r="P18" s="15"/>
      <c r="Q18" s="15"/>
      <c r="R18" s="16"/>
      <c r="S18" s="33" t="s">
        <v>141</v>
      </c>
      <c r="T18" s="35" t="s">
        <v>144</v>
      </c>
      <c r="U18" s="9"/>
      <c r="V18" s="9" t="s">
        <v>252</v>
      </c>
    </row>
    <row r="19" spans="2:22">
      <c r="B19" s="33">
        <f t="shared" si="0"/>
        <v>17</v>
      </c>
      <c r="C19" s="17"/>
      <c r="D19" s="22"/>
      <c r="E19" s="18"/>
      <c r="F19" s="23"/>
      <c r="G19" s="15"/>
      <c r="H19" s="43" t="s">
        <v>168</v>
      </c>
      <c r="I19" s="26"/>
      <c r="J19" s="26"/>
      <c r="K19" s="26"/>
      <c r="L19" s="26"/>
      <c r="M19" s="26"/>
      <c r="N19" s="26"/>
      <c r="O19" s="26"/>
      <c r="P19" s="26"/>
      <c r="Q19" s="26"/>
      <c r="R19" s="27"/>
      <c r="S19" s="44" t="s">
        <v>143</v>
      </c>
      <c r="T19" s="45" t="s">
        <v>144</v>
      </c>
      <c r="U19" s="28"/>
      <c r="V19" s="28"/>
    </row>
    <row r="20" spans="2:22">
      <c r="B20" s="33">
        <f t="shared" si="0"/>
        <v>18</v>
      </c>
      <c r="C20" s="17"/>
      <c r="D20" s="22"/>
      <c r="E20" s="18"/>
      <c r="F20" s="23"/>
      <c r="G20" s="15"/>
      <c r="H20" s="34" t="s">
        <v>169</v>
      </c>
      <c r="I20" s="15"/>
      <c r="J20" s="15"/>
      <c r="K20" s="15"/>
      <c r="L20" s="15"/>
      <c r="M20" s="15"/>
      <c r="N20" s="15"/>
      <c r="O20" s="15"/>
      <c r="P20" s="15"/>
      <c r="Q20" s="15"/>
      <c r="R20" s="16"/>
      <c r="S20" s="33" t="s">
        <v>141</v>
      </c>
      <c r="T20" s="35" t="s">
        <v>144</v>
      </c>
      <c r="U20" s="9"/>
      <c r="V20" s="9"/>
    </row>
    <row r="21" spans="2:22">
      <c r="B21" s="33">
        <f t="shared" si="0"/>
        <v>19</v>
      </c>
      <c r="C21" s="17"/>
      <c r="D21" s="22"/>
      <c r="E21" s="18"/>
      <c r="F21" s="23"/>
      <c r="G21" s="49" t="s">
        <v>146</v>
      </c>
      <c r="H21" s="34" t="s">
        <v>160</v>
      </c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33" t="s">
        <v>141</v>
      </c>
      <c r="T21" s="35" t="s">
        <v>144</v>
      </c>
      <c r="U21" s="9"/>
      <c r="V21" s="9"/>
    </row>
    <row r="22" spans="2:22">
      <c r="B22" s="33">
        <f t="shared" si="0"/>
        <v>20</v>
      </c>
      <c r="C22" s="17"/>
      <c r="D22" s="22"/>
      <c r="E22" s="18"/>
      <c r="F22" s="23"/>
      <c r="G22" s="15"/>
      <c r="H22" s="43" t="s">
        <v>9</v>
      </c>
      <c r="I22" s="26"/>
      <c r="J22" s="26"/>
      <c r="K22" s="26"/>
      <c r="L22" s="26"/>
      <c r="M22" s="26"/>
      <c r="N22" s="26"/>
      <c r="O22" s="26"/>
      <c r="P22" s="26"/>
      <c r="Q22" s="26"/>
      <c r="R22" s="27"/>
      <c r="S22" s="44" t="s">
        <v>143</v>
      </c>
      <c r="T22" s="45" t="s">
        <v>144</v>
      </c>
      <c r="U22" s="28"/>
      <c r="V22" s="28"/>
    </row>
    <row r="23" spans="2:22">
      <c r="B23" s="33">
        <f t="shared" si="0"/>
        <v>21</v>
      </c>
      <c r="C23" s="17"/>
      <c r="D23" s="22"/>
      <c r="E23" s="18"/>
      <c r="F23" s="23"/>
      <c r="G23" s="15"/>
      <c r="H23" s="26"/>
      <c r="I23" s="34" t="s">
        <v>161</v>
      </c>
      <c r="J23" s="15"/>
      <c r="K23" s="15"/>
      <c r="L23" s="15"/>
      <c r="M23" s="15"/>
      <c r="N23" s="15"/>
      <c r="O23" s="15"/>
      <c r="P23" s="15"/>
      <c r="Q23" s="15"/>
      <c r="R23" s="16"/>
      <c r="S23" s="33" t="s">
        <v>145</v>
      </c>
      <c r="T23" s="35" t="s">
        <v>144</v>
      </c>
      <c r="U23" s="9"/>
      <c r="V23" s="9"/>
    </row>
    <row r="24" spans="2:22">
      <c r="B24" s="33">
        <f t="shared" si="0"/>
        <v>22</v>
      </c>
      <c r="C24" s="17"/>
      <c r="D24" s="22"/>
      <c r="E24" s="18"/>
      <c r="F24" s="23"/>
      <c r="G24" s="15"/>
      <c r="H24" s="26"/>
      <c r="I24" s="34" t="s">
        <v>162</v>
      </c>
      <c r="J24" s="15"/>
      <c r="K24" s="15"/>
      <c r="L24" s="15"/>
      <c r="M24" s="15"/>
      <c r="N24" s="15"/>
      <c r="O24" s="15"/>
      <c r="P24" s="15"/>
      <c r="Q24" s="15"/>
      <c r="R24" s="16"/>
      <c r="S24" s="33" t="s">
        <v>145</v>
      </c>
      <c r="T24" s="35" t="s">
        <v>144</v>
      </c>
      <c r="U24" s="9"/>
      <c r="V24" s="9"/>
    </row>
    <row r="25" spans="2:22">
      <c r="B25" s="33">
        <f t="shared" si="0"/>
        <v>23</v>
      </c>
      <c r="C25" s="17"/>
      <c r="D25" s="22"/>
      <c r="E25" s="18"/>
      <c r="F25" s="23"/>
      <c r="G25" s="15"/>
      <c r="H25" s="26"/>
      <c r="I25" s="34" t="s">
        <v>163</v>
      </c>
      <c r="J25" s="15"/>
      <c r="K25" s="15"/>
      <c r="L25" s="15"/>
      <c r="M25" s="15"/>
      <c r="N25" s="15"/>
      <c r="O25" s="15"/>
      <c r="P25" s="15"/>
      <c r="Q25" s="15"/>
      <c r="R25" s="16"/>
      <c r="S25" s="33" t="s">
        <v>152</v>
      </c>
      <c r="T25" s="35" t="s">
        <v>144</v>
      </c>
      <c r="U25" s="9"/>
      <c r="V25" s="9"/>
    </row>
    <row r="26" spans="2:22">
      <c r="B26" s="33">
        <f t="shared" si="0"/>
        <v>24</v>
      </c>
      <c r="C26" s="17"/>
      <c r="D26" s="22"/>
      <c r="E26" s="18"/>
      <c r="F26" s="23"/>
      <c r="G26" s="15"/>
      <c r="H26" s="26"/>
      <c r="I26" s="34" t="s">
        <v>164</v>
      </c>
      <c r="J26" s="15"/>
      <c r="K26" s="15"/>
      <c r="L26" s="15"/>
      <c r="M26" s="15"/>
      <c r="N26" s="15"/>
      <c r="O26" s="15"/>
      <c r="P26" s="15"/>
      <c r="Q26" s="15"/>
      <c r="R26" s="16"/>
      <c r="S26" s="33" t="s">
        <v>141</v>
      </c>
      <c r="T26" s="35" t="s">
        <v>144</v>
      </c>
      <c r="U26" s="9"/>
      <c r="V26" s="9"/>
    </row>
    <row r="27" spans="2:22">
      <c r="B27" s="33">
        <f t="shared" si="0"/>
        <v>25</v>
      </c>
      <c r="C27" s="17"/>
      <c r="D27" s="22"/>
      <c r="E27" s="18"/>
      <c r="F27" s="23"/>
      <c r="G27" s="15"/>
      <c r="H27" s="26"/>
      <c r="I27" s="34" t="s">
        <v>165</v>
      </c>
      <c r="J27" s="15"/>
      <c r="K27" s="15"/>
      <c r="L27" s="15"/>
      <c r="M27" s="15"/>
      <c r="N27" s="15"/>
      <c r="O27" s="15"/>
      <c r="P27" s="15"/>
      <c r="Q27" s="15"/>
      <c r="R27" s="16"/>
      <c r="S27" s="33" t="s">
        <v>141</v>
      </c>
      <c r="T27" s="35" t="s">
        <v>144</v>
      </c>
      <c r="U27" s="9"/>
      <c r="V27" s="9"/>
    </row>
    <row r="28" spans="2:22">
      <c r="B28" s="33">
        <f t="shared" si="0"/>
        <v>26</v>
      </c>
      <c r="C28" s="17"/>
      <c r="D28" s="22"/>
      <c r="E28" s="18"/>
      <c r="F28" s="23"/>
      <c r="G28" s="15"/>
      <c r="H28" s="26"/>
      <c r="I28" s="34" t="s">
        <v>166</v>
      </c>
      <c r="J28" s="15"/>
      <c r="K28" s="15"/>
      <c r="L28" s="15"/>
      <c r="M28" s="15"/>
      <c r="N28" s="15"/>
      <c r="O28" s="15"/>
      <c r="P28" s="15"/>
      <c r="Q28" s="15"/>
      <c r="R28" s="16"/>
      <c r="S28" s="33" t="s">
        <v>152</v>
      </c>
      <c r="T28" s="35" t="s">
        <v>144</v>
      </c>
      <c r="U28" s="9"/>
      <c r="V28" s="9"/>
    </row>
    <row r="29" spans="2:22">
      <c r="B29" s="33">
        <f t="shared" si="0"/>
        <v>27</v>
      </c>
      <c r="C29" s="17"/>
      <c r="D29" s="22"/>
      <c r="E29" s="18"/>
      <c r="F29" s="23"/>
      <c r="G29" s="15"/>
      <c r="H29" s="26"/>
      <c r="I29" s="34" t="s">
        <v>167</v>
      </c>
      <c r="J29" s="15"/>
      <c r="K29" s="15"/>
      <c r="L29" s="15"/>
      <c r="M29" s="15"/>
      <c r="N29" s="15"/>
      <c r="O29" s="15"/>
      <c r="P29" s="15"/>
      <c r="Q29" s="15"/>
      <c r="R29" s="16"/>
      <c r="S29" s="33" t="s">
        <v>141</v>
      </c>
      <c r="T29" s="35" t="s">
        <v>144</v>
      </c>
      <c r="U29" s="9"/>
      <c r="V29" s="9"/>
    </row>
    <row r="30" spans="2:22">
      <c r="B30" s="33">
        <f t="shared" si="0"/>
        <v>28</v>
      </c>
      <c r="C30" s="17"/>
      <c r="D30" s="22"/>
      <c r="E30" s="18"/>
      <c r="F30" s="23"/>
      <c r="G30" s="15"/>
      <c r="H30" s="43" t="s">
        <v>168</v>
      </c>
      <c r="I30" s="26"/>
      <c r="J30" s="26"/>
      <c r="K30" s="26"/>
      <c r="L30" s="26"/>
      <c r="M30" s="26"/>
      <c r="N30" s="26"/>
      <c r="O30" s="26"/>
      <c r="P30" s="26"/>
      <c r="Q30" s="26"/>
      <c r="R30" s="27"/>
      <c r="S30" s="44" t="s">
        <v>143</v>
      </c>
      <c r="T30" s="45" t="s">
        <v>144</v>
      </c>
      <c r="U30" s="28"/>
      <c r="V30" s="28"/>
    </row>
    <row r="31" spans="2:22">
      <c r="B31" s="33">
        <f t="shared" si="0"/>
        <v>29</v>
      </c>
      <c r="C31" s="17"/>
      <c r="D31" s="22"/>
      <c r="E31" s="18"/>
      <c r="F31" s="23"/>
      <c r="G31" s="15"/>
      <c r="H31" s="34" t="s">
        <v>169</v>
      </c>
      <c r="I31" s="15"/>
      <c r="J31" s="15"/>
      <c r="K31" s="15"/>
      <c r="L31" s="15"/>
      <c r="M31" s="15"/>
      <c r="N31" s="15"/>
      <c r="O31" s="15"/>
      <c r="P31" s="15"/>
      <c r="Q31" s="15"/>
      <c r="R31" s="16"/>
      <c r="S31" s="33" t="s">
        <v>141</v>
      </c>
      <c r="T31" s="35" t="s">
        <v>144</v>
      </c>
      <c r="U31" s="9"/>
      <c r="V31" s="9"/>
    </row>
    <row r="32" spans="2:22">
      <c r="B32" s="33">
        <f t="shared" si="0"/>
        <v>30</v>
      </c>
      <c r="C32" s="17"/>
      <c r="D32" s="22"/>
      <c r="E32" s="18"/>
      <c r="F32" s="39" t="s">
        <v>19</v>
      </c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4"/>
      <c r="S32" s="40" t="s">
        <v>143</v>
      </c>
      <c r="T32" s="41" t="s">
        <v>144</v>
      </c>
      <c r="U32" s="25"/>
      <c r="V32" s="25"/>
    </row>
    <row r="33" spans="2:22">
      <c r="B33" s="33">
        <f t="shared" si="0"/>
        <v>31</v>
      </c>
      <c r="C33" s="17"/>
      <c r="D33" s="22"/>
      <c r="E33" s="18"/>
      <c r="F33" s="23"/>
      <c r="G33" s="34" t="s">
        <v>170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6"/>
      <c r="S33" s="33" t="s">
        <v>152</v>
      </c>
      <c r="T33" s="35" t="s">
        <v>144</v>
      </c>
      <c r="U33" s="9"/>
      <c r="V33" s="9"/>
    </row>
    <row r="34" spans="2:22">
      <c r="B34" s="33">
        <f t="shared" si="0"/>
        <v>32</v>
      </c>
      <c r="C34" s="17"/>
      <c r="D34" s="22"/>
      <c r="E34" s="18"/>
      <c r="F34" s="23"/>
      <c r="G34" s="34" t="s">
        <v>171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6"/>
      <c r="S34" s="33" t="s">
        <v>152</v>
      </c>
      <c r="T34" s="35" t="s">
        <v>144</v>
      </c>
      <c r="U34" s="9"/>
      <c r="V34" s="9"/>
    </row>
    <row r="35" spans="2:22">
      <c r="B35" s="33">
        <f t="shared" ref="B35:B66" si="1">ROW()-2</f>
        <v>33</v>
      </c>
      <c r="C35" s="17"/>
      <c r="D35" s="22"/>
      <c r="E35" s="18"/>
      <c r="F35" s="39" t="s">
        <v>21</v>
      </c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4"/>
      <c r="S35" s="40" t="s">
        <v>143</v>
      </c>
      <c r="T35" s="41" t="s">
        <v>144</v>
      </c>
      <c r="U35" s="25"/>
      <c r="V35" s="25"/>
    </row>
    <row r="36" spans="2:22">
      <c r="B36" s="33">
        <f t="shared" si="1"/>
        <v>34</v>
      </c>
      <c r="C36" s="17"/>
      <c r="D36" s="22"/>
      <c r="E36" s="18"/>
      <c r="F36" s="23"/>
      <c r="G36" s="34" t="s">
        <v>172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6"/>
      <c r="S36" s="33" t="s">
        <v>141</v>
      </c>
      <c r="T36" s="35" t="s">
        <v>144</v>
      </c>
      <c r="U36" s="9"/>
      <c r="V36" s="9" t="s">
        <v>283</v>
      </c>
    </row>
    <row r="37" spans="2:22">
      <c r="B37" s="33">
        <f t="shared" si="1"/>
        <v>35</v>
      </c>
      <c r="C37" s="17"/>
      <c r="D37" s="22"/>
      <c r="E37" s="18"/>
      <c r="F37" s="34" t="s">
        <v>173</v>
      </c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6"/>
      <c r="S37" s="33" t="s">
        <v>145</v>
      </c>
      <c r="T37" s="35" t="s">
        <v>144</v>
      </c>
      <c r="U37" s="9"/>
      <c r="V37" s="50"/>
    </row>
    <row r="38" spans="2:22">
      <c r="B38" s="33">
        <f t="shared" si="1"/>
        <v>36</v>
      </c>
      <c r="C38" s="17"/>
      <c r="D38" s="22"/>
      <c r="E38" s="18"/>
      <c r="F38" s="34" t="s">
        <v>174</v>
      </c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6"/>
      <c r="S38" s="33" t="s">
        <v>145</v>
      </c>
      <c r="T38" s="35" t="s">
        <v>144</v>
      </c>
      <c r="U38" s="9"/>
      <c r="V38" s="50"/>
    </row>
    <row r="39" spans="2:22">
      <c r="B39" s="33">
        <f t="shared" si="1"/>
        <v>37</v>
      </c>
      <c r="C39" s="17"/>
      <c r="D39" s="22"/>
      <c r="E39" s="18"/>
      <c r="F39" s="39" t="s">
        <v>25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4"/>
      <c r="S39" s="40" t="s">
        <v>143</v>
      </c>
      <c r="T39" s="41" t="s">
        <v>144</v>
      </c>
      <c r="U39" s="25"/>
      <c r="V39" s="25"/>
    </row>
    <row r="40" spans="2:22">
      <c r="B40" s="33">
        <f t="shared" si="1"/>
        <v>38</v>
      </c>
      <c r="C40" s="17"/>
      <c r="D40" s="22"/>
      <c r="E40" s="18"/>
      <c r="F40" s="23"/>
      <c r="G40" s="49" t="s">
        <v>146</v>
      </c>
      <c r="H40" s="34" t="s">
        <v>157</v>
      </c>
      <c r="I40" s="15"/>
      <c r="J40" s="15"/>
      <c r="K40" s="15"/>
      <c r="L40" s="15"/>
      <c r="M40" s="15"/>
      <c r="N40" s="15"/>
      <c r="O40" s="15"/>
      <c r="P40" s="15"/>
      <c r="Q40" s="15"/>
      <c r="R40" s="16"/>
      <c r="S40" s="33" t="s">
        <v>141</v>
      </c>
      <c r="T40" s="35" t="s">
        <v>144</v>
      </c>
      <c r="U40" s="9"/>
      <c r="V40" s="9"/>
    </row>
    <row r="41" spans="2:22">
      <c r="B41" s="33">
        <f t="shared" si="1"/>
        <v>39</v>
      </c>
      <c r="C41" s="17"/>
      <c r="D41" s="22"/>
      <c r="E41" s="18"/>
      <c r="F41" s="23"/>
      <c r="G41" s="49" t="s">
        <v>146</v>
      </c>
      <c r="H41" s="34" t="s">
        <v>157</v>
      </c>
      <c r="I41" s="15"/>
      <c r="J41" s="15"/>
      <c r="K41" s="15"/>
      <c r="L41" s="15"/>
      <c r="M41" s="15"/>
      <c r="N41" s="15"/>
      <c r="O41" s="15"/>
      <c r="P41" s="15"/>
      <c r="Q41" s="15"/>
      <c r="R41" s="16"/>
      <c r="S41" s="33" t="s">
        <v>141</v>
      </c>
      <c r="T41" s="35" t="s">
        <v>144</v>
      </c>
      <c r="U41" s="9"/>
      <c r="V41" s="9"/>
    </row>
    <row r="42" spans="2:22">
      <c r="B42" s="33">
        <f t="shared" si="1"/>
        <v>40</v>
      </c>
      <c r="C42" s="17"/>
      <c r="D42" s="22"/>
      <c r="E42" s="18"/>
      <c r="F42" s="39" t="s">
        <v>27</v>
      </c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4"/>
      <c r="S42" s="40" t="s">
        <v>143</v>
      </c>
      <c r="T42" s="41" t="s">
        <v>144</v>
      </c>
      <c r="U42" s="25"/>
      <c r="V42" s="25"/>
    </row>
    <row r="43" spans="2:22">
      <c r="B43" s="33">
        <f t="shared" si="1"/>
        <v>41</v>
      </c>
      <c r="C43" s="17"/>
      <c r="D43" s="22"/>
      <c r="E43" s="18"/>
      <c r="F43" s="23"/>
      <c r="G43" s="49" t="s">
        <v>146</v>
      </c>
      <c r="H43" s="34" t="s">
        <v>175</v>
      </c>
      <c r="I43" s="15"/>
      <c r="J43" s="15"/>
      <c r="K43" s="15"/>
      <c r="L43" s="15"/>
      <c r="M43" s="15"/>
      <c r="N43" s="15"/>
      <c r="O43" s="15"/>
      <c r="P43" s="15"/>
      <c r="Q43" s="15"/>
      <c r="R43" s="16"/>
      <c r="S43" s="33" t="s">
        <v>152</v>
      </c>
      <c r="T43" s="35" t="s">
        <v>144</v>
      </c>
      <c r="U43" s="9"/>
      <c r="V43" s="9"/>
    </row>
    <row r="44" spans="2:22">
      <c r="B44" s="33">
        <f t="shared" si="1"/>
        <v>42</v>
      </c>
      <c r="C44" s="17"/>
      <c r="D44" s="22"/>
      <c r="E44" s="18"/>
      <c r="F44" s="23"/>
      <c r="G44" s="15"/>
      <c r="H44" s="34" t="s">
        <v>157</v>
      </c>
      <c r="I44" s="15"/>
      <c r="J44" s="15"/>
      <c r="K44" s="15"/>
      <c r="L44" s="15"/>
      <c r="M44" s="15"/>
      <c r="N44" s="15"/>
      <c r="O44" s="15"/>
      <c r="P44" s="15"/>
      <c r="Q44" s="15"/>
      <c r="R44" s="16"/>
      <c r="S44" s="33" t="s">
        <v>141</v>
      </c>
      <c r="T44" s="35" t="s">
        <v>144</v>
      </c>
      <c r="U44" s="9"/>
      <c r="V44" s="9"/>
    </row>
    <row r="45" spans="2:22">
      <c r="B45" s="33">
        <f t="shared" si="1"/>
        <v>43</v>
      </c>
      <c r="C45" s="17"/>
      <c r="D45" s="22"/>
      <c r="E45" s="18"/>
      <c r="F45" s="23"/>
      <c r="G45" s="49" t="s">
        <v>146</v>
      </c>
      <c r="H45" s="34" t="s">
        <v>175</v>
      </c>
      <c r="I45" s="15"/>
      <c r="J45" s="15"/>
      <c r="K45" s="15"/>
      <c r="L45" s="15"/>
      <c r="M45" s="15"/>
      <c r="N45" s="15"/>
      <c r="O45" s="15"/>
      <c r="P45" s="15"/>
      <c r="Q45" s="15"/>
      <c r="R45" s="16"/>
      <c r="S45" s="33" t="s">
        <v>152</v>
      </c>
      <c r="T45" s="35" t="s">
        <v>144</v>
      </c>
      <c r="U45" s="9"/>
      <c r="V45" s="9"/>
    </row>
    <row r="46" spans="2:22">
      <c r="B46" s="33">
        <f t="shared" si="1"/>
        <v>44</v>
      </c>
      <c r="C46" s="17"/>
      <c r="D46" s="22"/>
      <c r="E46" s="18"/>
      <c r="F46" s="23"/>
      <c r="G46" s="15"/>
      <c r="H46" s="34" t="s">
        <v>157</v>
      </c>
      <c r="I46" s="15"/>
      <c r="J46" s="15"/>
      <c r="K46" s="15"/>
      <c r="L46" s="15"/>
      <c r="M46" s="15"/>
      <c r="N46" s="15"/>
      <c r="O46" s="15"/>
      <c r="P46" s="15"/>
      <c r="Q46" s="15"/>
      <c r="R46" s="16"/>
      <c r="S46" s="33" t="s">
        <v>141</v>
      </c>
      <c r="T46" s="35" t="s">
        <v>144</v>
      </c>
      <c r="U46" s="9"/>
      <c r="V46" s="9"/>
    </row>
    <row r="47" spans="2:22">
      <c r="B47" s="33">
        <f t="shared" si="1"/>
        <v>45</v>
      </c>
      <c r="C47" s="17"/>
      <c r="D47" s="22"/>
      <c r="E47" s="18"/>
      <c r="F47" s="39" t="s">
        <v>215</v>
      </c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4"/>
      <c r="S47" s="40" t="s">
        <v>143</v>
      </c>
      <c r="T47" s="41" t="s">
        <v>144</v>
      </c>
      <c r="U47" s="25"/>
      <c r="V47" s="25"/>
    </row>
    <row r="48" spans="2:22">
      <c r="B48" s="33">
        <f t="shared" si="1"/>
        <v>46</v>
      </c>
      <c r="C48" s="17"/>
      <c r="D48" s="22"/>
      <c r="E48" s="18"/>
      <c r="F48" s="23"/>
      <c r="G48" s="34" t="s">
        <v>216</v>
      </c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6"/>
      <c r="S48" s="33" t="s">
        <v>145</v>
      </c>
      <c r="T48" s="35" t="s">
        <v>144</v>
      </c>
      <c r="U48" s="9"/>
      <c r="V48" s="9"/>
    </row>
    <row r="49" spans="2:22">
      <c r="B49" s="33">
        <f t="shared" si="1"/>
        <v>47</v>
      </c>
      <c r="C49" s="17"/>
      <c r="D49" s="22"/>
      <c r="E49" s="18"/>
      <c r="F49" s="39" t="s">
        <v>29</v>
      </c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4"/>
      <c r="S49" s="40" t="s">
        <v>143</v>
      </c>
      <c r="T49" s="41" t="s">
        <v>144</v>
      </c>
      <c r="U49" s="25"/>
      <c r="V49" s="25"/>
    </row>
    <row r="50" spans="2:22">
      <c r="B50" s="33">
        <f t="shared" si="1"/>
        <v>48</v>
      </c>
      <c r="C50" s="17"/>
      <c r="D50" s="22"/>
      <c r="E50" s="18"/>
      <c r="F50" s="23"/>
      <c r="G50" s="34" t="s">
        <v>176</v>
      </c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6"/>
      <c r="S50" s="33" t="s">
        <v>145</v>
      </c>
      <c r="T50" s="35" t="s">
        <v>144</v>
      </c>
      <c r="U50" s="9"/>
      <c r="V50" s="9"/>
    </row>
    <row r="51" spans="2:22">
      <c r="B51" s="33">
        <f t="shared" si="1"/>
        <v>49</v>
      </c>
      <c r="C51" s="17"/>
      <c r="D51" s="22"/>
      <c r="E51" s="18"/>
      <c r="F51" s="34" t="s">
        <v>177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6"/>
      <c r="S51" s="33" t="s">
        <v>141</v>
      </c>
      <c r="T51" s="35" t="s">
        <v>144</v>
      </c>
      <c r="U51" s="9"/>
      <c r="V51" s="9"/>
    </row>
    <row r="52" spans="2:22">
      <c r="B52" s="33">
        <f t="shared" si="1"/>
        <v>50</v>
      </c>
      <c r="C52" s="17"/>
      <c r="D52" s="22"/>
      <c r="E52" s="18"/>
      <c r="F52" s="34" t="s">
        <v>178</v>
      </c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6"/>
      <c r="S52" s="33" t="s">
        <v>141</v>
      </c>
      <c r="T52" s="35" t="s">
        <v>144</v>
      </c>
      <c r="U52" s="9"/>
      <c r="V52" s="9"/>
    </row>
    <row r="53" spans="2:22">
      <c r="B53" s="33">
        <f t="shared" si="1"/>
        <v>51</v>
      </c>
      <c r="C53" s="17"/>
      <c r="D53" s="22"/>
      <c r="E53" s="18"/>
      <c r="F53" s="34" t="s">
        <v>179</v>
      </c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6"/>
      <c r="S53" s="33" t="s">
        <v>141</v>
      </c>
      <c r="T53" s="35" t="s">
        <v>144</v>
      </c>
      <c r="U53" s="9"/>
      <c r="V53" s="9"/>
    </row>
    <row r="54" spans="2:22">
      <c r="B54" s="33">
        <f t="shared" si="1"/>
        <v>52</v>
      </c>
      <c r="C54" s="17"/>
      <c r="D54" s="22"/>
      <c r="E54" s="18"/>
      <c r="F54" s="34" t="s">
        <v>180</v>
      </c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6"/>
      <c r="S54" s="33" t="s">
        <v>141</v>
      </c>
      <c r="T54" s="35" t="s">
        <v>144</v>
      </c>
      <c r="U54" s="9"/>
      <c r="V54" s="9" t="s">
        <v>280</v>
      </c>
    </row>
    <row r="55" spans="2:22">
      <c r="B55" s="33">
        <f t="shared" si="1"/>
        <v>53</v>
      </c>
      <c r="C55" s="17"/>
      <c r="D55" s="22"/>
      <c r="E55" s="18"/>
      <c r="F55" s="34" t="s">
        <v>181</v>
      </c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6"/>
      <c r="S55" s="33" t="s">
        <v>141</v>
      </c>
      <c r="T55" s="35" t="s">
        <v>144</v>
      </c>
      <c r="U55" s="9"/>
      <c r="V55" s="9" t="s">
        <v>236</v>
      </c>
    </row>
    <row r="56" spans="2:22">
      <c r="B56" s="33">
        <f t="shared" si="1"/>
        <v>54</v>
      </c>
      <c r="C56" s="17"/>
      <c r="D56" s="22"/>
      <c r="E56" s="18"/>
      <c r="F56" s="34" t="s">
        <v>182</v>
      </c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6"/>
      <c r="S56" s="33" t="s">
        <v>141</v>
      </c>
      <c r="T56" s="35" t="s">
        <v>144</v>
      </c>
      <c r="U56" s="9"/>
      <c r="V56" s="9" t="s">
        <v>281</v>
      </c>
    </row>
    <row r="57" spans="2:22">
      <c r="B57" s="33">
        <f t="shared" si="1"/>
        <v>55</v>
      </c>
      <c r="C57" s="17"/>
      <c r="D57" s="22"/>
      <c r="E57" s="18"/>
      <c r="F57" s="34" t="s">
        <v>183</v>
      </c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6"/>
      <c r="S57" s="33" t="s">
        <v>152</v>
      </c>
      <c r="T57" s="35" t="s">
        <v>144</v>
      </c>
      <c r="U57" s="9"/>
      <c r="V57" s="9"/>
    </row>
    <row r="58" spans="2:22">
      <c r="B58" s="33">
        <f t="shared" si="1"/>
        <v>56</v>
      </c>
      <c r="C58" s="17"/>
      <c r="D58" s="22"/>
      <c r="E58" s="18"/>
      <c r="F58" s="39" t="s">
        <v>38</v>
      </c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4"/>
      <c r="S58" s="40" t="s">
        <v>143</v>
      </c>
      <c r="T58" s="41" t="s">
        <v>144</v>
      </c>
      <c r="U58" s="25"/>
      <c r="V58" s="9"/>
    </row>
    <row r="59" spans="2:22">
      <c r="B59" s="33">
        <f t="shared" si="1"/>
        <v>57</v>
      </c>
      <c r="C59" s="17"/>
      <c r="D59" s="22"/>
      <c r="E59" s="18"/>
      <c r="F59" s="23"/>
      <c r="G59" s="49" t="s">
        <v>146</v>
      </c>
      <c r="H59" s="34" t="s">
        <v>184</v>
      </c>
      <c r="I59" s="15"/>
      <c r="J59" s="15"/>
      <c r="K59" s="15"/>
      <c r="L59" s="15"/>
      <c r="M59" s="15"/>
      <c r="N59" s="15"/>
      <c r="O59" s="15"/>
      <c r="P59" s="15"/>
      <c r="Q59" s="15"/>
      <c r="R59" s="16"/>
      <c r="S59" s="33" t="s">
        <v>141</v>
      </c>
      <c r="T59" s="35" t="s">
        <v>144</v>
      </c>
      <c r="U59" s="9"/>
      <c r="V59" s="9"/>
    </row>
    <row r="60" spans="2:22">
      <c r="B60" s="33">
        <f t="shared" si="1"/>
        <v>58</v>
      </c>
      <c r="C60" s="17"/>
      <c r="D60" s="22"/>
      <c r="E60" s="18"/>
      <c r="F60" s="23"/>
      <c r="G60" s="49" t="s">
        <v>146</v>
      </c>
      <c r="H60" s="34" t="s">
        <v>184</v>
      </c>
      <c r="I60" s="15"/>
      <c r="J60" s="15"/>
      <c r="K60" s="15"/>
      <c r="L60" s="15"/>
      <c r="M60" s="15"/>
      <c r="N60" s="15"/>
      <c r="O60" s="15"/>
      <c r="P60" s="15"/>
      <c r="Q60" s="15"/>
      <c r="R60" s="16"/>
      <c r="S60" s="33" t="s">
        <v>141</v>
      </c>
      <c r="T60" s="35" t="s">
        <v>144</v>
      </c>
      <c r="U60" s="9"/>
      <c r="V60" s="9"/>
    </row>
    <row r="61" spans="2:22">
      <c r="B61" s="33">
        <f t="shared" si="1"/>
        <v>59</v>
      </c>
      <c r="C61" s="17"/>
      <c r="D61" s="22"/>
      <c r="E61" s="18"/>
      <c r="F61" s="34" t="s">
        <v>185</v>
      </c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6"/>
      <c r="S61" s="33" t="s">
        <v>141</v>
      </c>
      <c r="T61" s="35" t="s">
        <v>144</v>
      </c>
      <c r="U61" s="9"/>
      <c r="V61" s="9"/>
    </row>
    <row r="62" spans="2:22">
      <c r="B62" s="33">
        <f t="shared" si="1"/>
        <v>60</v>
      </c>
      <c r="C62" s="17"/>
      <c r="D62" s="22"/>
      <c r="E62" s="18"/>
      <c r="F62" s="34" t="s">
        <v>186</v>
      </c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6"/>
      <c r="S62" s="33" t="s">
        <v>141</v>
      </c>
      <c r="T62" s="35" t="s">
        <v>144</v>
      </c>
      <c r="U62" s="9"/>
      <c r="V62" s="9" t="s">
        <v>282</v>
      </c>
    </row>
    <row r="63" spans="2:22">
      <c r="B63" s="33">
        <f t="shared" si="1"/>
        <v>61</v>
      </c>
      <c r="C63" s="17"/>
      <c r="D63" s="22"/>
      <c r="E63" s="18"/>
      <c r="F63" s="39" t="s">
        <v>42</v>
      </c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4"/>
      <c r="S63" s="40" t="s">
        <v>143</v>
      </c>
      <c r="T63" s="41" t="s">
        <v>144</v>
      </c>
      <c r="U63" s="25"/>
      <c r="V63" s="9"/>
    </row>
    <row r="64" spans="2:22">
      <c r="B64" s="33">
        <f t="shared" si="1"/>
        <v>62</v>
      </c>
      <c r="C64" s="17"/>
      <c r="D64" s="22"/>
      <c r="E64" s="18"/>
      <c r="F64" s="23"/>
      <c r="G64" s="34" t="s">
        <v>187</v>
      </c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6"/>
      <c r="S64" s="33" t="s">
        <v>141</v>
      </c>
      <c r="T64" s="35" t="s">
        <v>144</v>
      </c>
      <c r="U64" s="9"/>
      <c r="V64" s="9"/>
    </row>
    <row r="65" spans="2:22">
      <c r="B65" s="33">
        <f t="shared" si="1"/>
        <v>63</v>
      </c>
      <c r="C65" s="17"/>
      <c r="D65" s="22"/>
      <c r="E65" s="18"/>
      <c r="F65" s="23"/>
      <c r="G65" s="34" t="s">
        <v>188</v>
      </c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6"/>
      <c r="S65" s="33" t="s">
        <v>141</v>
      </c>
      <c r="T65" s="35" t="s">
        <v>144</v>
      </c>
      <c r="U65" s="9"/>
      <c r="V65" s="9"/>
    </row>
    <row r="66" spans="2:22">
      <c r="B66" s="33">
        <f t="shared" si="1"/>
        <v>64</v>
      </c>
      <c r="C66" s="17"/>
      <c r="D66" s="22"/>
      <c r="E66" s="18"/>
      <c r="F66" s="23"/>
      <c r="G66" s="34" t="s">
        <v>189</v>
      </c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6"/>
      <c r="S66" s="33" t="s">
        <v>141</v>
      </c>
      <c r="T66" s="35" t="s">
        <v>144</v>
      </c>
      <c r="U66" s="9"/>
      <c r="V66" s="9"/>
    </row>
    <row r="67" spans="2:22">
      <c r="B67" s="33">
        <f t="shared" ref="B67:B98" si="2">ROW()-2</f>
        <v>65</v>
      </c>
      <c r="C67" s="17"/>
      <c r="D67" s="22"/>
      <c r="E67" s="18"/>
      <c r="F67" s="39" t="s">
        <v>46</v>
      </c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4"/>
      <c r="S67" s="40" t="s">
        <v>143</v>
      </c>
      <c r="T67" s="41" t="s">
        <v>144</v>
      </c>
      <c r="U67" s="25"/>
      <c r="V67" s="9"/>
    </row>
    <row r="68" spans="2:22">
      <c r="B68" s="33">
        <f t="shared" si="2"/>
        <v>66</v>
      </c>
      <c r="C68" s="17"/>
      <c r="D68" s="22"/>
      <c r="E68" s="18"/>
      <c r="F68" s="23"/>
      <c r="G68" s="49" t="s">
        <v>146</v>
      </c>
      <c r="H68" s="34" t="s">
        <v>190</v>
      </c>
      <c r="I68" s="15"/>
      <c r="J68" s="15"/>
      <c r="K68" s="15"/>
      <c r="L68" s="15"/>
      <c r="M68" s="15"/>
      <c r="N68" s="15"/>
      <c r="O68" s="15"/>
      <c r="P68" s="15"/>
      <c r="Q68" s="15"/>
      <c r="R68" s="16"/>
      <c r="S68" s="33" t="s">
        <v>141</v>
      </c>
      <c r="T68" s="35" t="s">
        <v>144</v>
      </c>
      <c r="U68" s="9"/>
      <c r="V68" s="9"/>
    </row>
    <row r="69" spans="2:22">
      <c r="B69" s="33">
        <f t="shared" si="2"/>
        <v>67</v>
      </c>
      <c r="C69" s="17"/>
      <c r="D69" s="22"/>
      <c r="E69" s="18"/>
      <c r="F69" s="23"/>
      <c r="G69" s="49" t="s">
        <v>146</v>
      </c>
      <c r="H69" s="34" t="s">
        <v>190</v>
      </c>
      <c r="I69" s="15"/>
      <c r="J69" s="15"/>
      <c r="K69" s="15"/>
      <c r="L69" s="15"/>
      <c r="M69" s="15"/>
      <c r="N69" s="15"/>
      <c r="O69" s="15"/>
      <c r="P69" s="15"/>
      <c r="Q69" s="15"/>
      <c r="R69" s="16"/>
      <c r="S69" s="33" t="s">
        <v>141</v>
      </c>
      <c r="T69" s="35" t="s">
        <v>144</v>
      </c>
      <c r="U69" s="9"/>
      <c r="V69" s="9"/>
    </row>
    <row r="70" spans="2:22">
      <c r="B70" s="33">
        <f t="shared" si="2"/>
        <v>68</v>
      </c>
      <c r="C70" s="17"/>
      <c r="D70" s="22"/>
      <c r="E70" s="18"/>
      <c r="F70" s="34" t="s">
        <v>191</v>
      </c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6"/>
      <c r="S70" s="33" t="s">
        <v>145</v>
      </c>
      <c r="T70" s="35" t="s">
        <v>144</v>
      </c>
      <c r="U70" s="9"/>
      <c r="V70" s="9"/>
    </row>
    <row r="71" spans="2:22">
      <c r="B71" s="33">
        <f t="shared" si="2"/>
        <v>69</v>
      </c>
      <c r="C71" s="17"/>
      <c r="D71" s="22"/>
      <c r="E71" s="18"/>
      <c r="F71" s="39" t="s">
        <v>49</v>
      </c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4"/>
      <c r="S71" s="40" t="s">
        <v>143</v>
      </c>
      <c r="T71" s="41" t="s">
        <v>144</v>
      </c>
      <c r="U71" s="25"/>
      <c r="V71" s="25"/>
    </row>
    <row r="72" spans="2:22">
      <c r="B72" s="33">
        <f t="shared" si="2"/>
        <v>70</v>
      </c>
      <c r="C72" s="17"/>
      <c r="D72" s="22"/>
      <c r="E72" s="18"/>
      <c r="F72" s="23"/>
      <c r="G72" s="49" t="s">
        <v>146</v>
      </c>
      <c r="H72" s="34" t="s">
        <v>192</v>
      </c>
      <c r="I72" s="15"/>
      <c r="J72" s="15"/>
      <c r="K72" s="15"/>
      <c r="L72" s="15"/>
      <c r="M72" s="15"/>
      <c r="N72" s="15"/>
      <c r="O72" s="15"/>
      <c r="P72" s="15"/>
      <c r="Q72" s="15"/>
      <c r="R72" s="16"/>
      <c r="S72" s="33" t="s">
        <v>145</v>
      </c>
      <c r="T72" s="35" t="s">
        <v>144</v>
      </c>
      <c r="U72" s="9"/>
      <c r="V72" s="50" t="s">
        <v>229</v>
      </c>
    </row>
    <row r="73" spans="2:22">
      <c r="B73" s="33">
        <f t="shared" si="2"/>
        <v>71</v>
      </c>
      <c r="C73" s="17"/>
      <c r="D73" s="22"/>
      <c r="E73" s="18"/>
      <c r="F73" s="23"/>
      <c r="G73" s="15"/>
      <c r="H73" s="34" t="s">
        <v>161</v>
      </c>
      <c r="I73" s="15"/>
      <c r="J73" s="15"/>
      <c r="K73" s="15"/>
      <c r="L73" s="15"/>
      <c r="M73" s="15"/>
      <c r="N73" s="15"/>
      <c r="O73" s="15"/>
      <c r="P73" s="15"/>
      <c r="Q73" s="15"/>
      <c r="R73" s="16"/>
      <c r="S73" s="33" t="s">
        <v>145</v>
      </c>
      <c r="T73" s="35" t="s">
        <v>144</v>
      </c>
      <c r="U73" s="9"/>
      <c r="V73" s="50" t="s">
        <v>229</v>
      </c>
    </row>
    <row r="74" spans="2:22">
      <c r="B74" s="33">
        <f t="shared" si="2"/>
        <v>72</v>
      </c>
      <c r="C74" s="17"/>
      <c r="D74" s="22"/>
      <c r="E74" s="18"/>
      <c r="F74" s="23"/>
      <c r="G74" s="15"/>
      <c r="H74" s="34" t="s">
        <v>156</v>
      </c>
      <c r="I74" s="15"/>
      <c r="J74" s="15"/>
      <c r="K74" s="15"/>
      <c r="L74" s="15"/>
      <c r="M74" s="15"/>
      <c r="N74" s="15"/>
      <c r="O74" s="15"/>
      <c r="P74" s="15"/>
      <c r="Q74" s="15"/>
      <c r="R74" s="16"/>
      <c r="S74" s="33" t="s">
        <v>141</v>
      </c>
      <c r="T74" s="35" t="s">
        <v>144</v>
      </c>
      <c r="U74" s="9"/>
      <c r="V74" s="9"/>
    </row>
    <row r="75" spans="2:22">
      <c r="B75" s="33">
        <f t="shared" si="2"/>
        <v>73</v>
      </c>
      <c r="C75" s="17"/>
      <c r="D75" s="22"/>
      <c r="E75" s="18"/>
      <c r="F75" s="23"/>
      <c r="G75" s="15"/>
      <c r="H75" s="34" t="s">
        <v>193</v>
      </c>
      <c r="I75" s="15"/>
      <c r="J75" s="15"/>
      <c r="K75" s="15"/>
      <c r="L75" s="15"/>
      <c r="M75" s="15"/>
      <c r="N75" s="15"/>
      <c r="O75" s="15"/>
      <c r="P75" s="15"/>
      <c r="Q75" s="15"/>
      <c r="R75" s="16"/>
      <c r="S75" s="33" t="s">
        <v>141</v>
      </c>
      <c r="T75" s="35" t="s">
        <v>144</v>
      </c>
      <c r="U75" s="9"/>
      <c r="V75" s="9">
        <v>0</v>
      </c>
    </row>
    <row r="76" spans="2:22">
      <c r="B76" s="33">
        <f t="shared" si="2"/>
        <v>74</v>
      </c>
      <c r="C76" s="17"/>
      <c r="D76" s="22"/>
      <c r="E76" s="18"/>
      <c r="F76" s="23"/>
      <c r="G76" s="15"/>
      <c r="H76" s="43" t="s">
        <v>53</v>
      </c>
      <c r="I76" s="26"/>
      <c r="J76" s="26"/>
      <c r="K76" s="26"/>
      <c r="L76" s="26"/>
      <c r="M76" s="26"/>
      <c r="N76" s="26"/>
      <c r="O76" s="26"/>
      <c r="P76" s="26"/>
      <c r="Q76" s="26"/>
      <c r="R76" s="27"/>
      <c r="S76" s="44" t="s">
        <v>143</v>
      </c>
      <c r="T76" s="45" t="s">
        <v>144</v>
      </c>
      <c r="U76" s="28"/>
      <c r="V76" s="28"/>
    </row>
    <row r="77" spans="2:22">
      <c r="B77" s="33">
        <f t="shared" si="2"/>
        <v>75</v>
      </c>
      <c r="C77" s="17"/>
      <c r="D77" s="22"/>
      <c r="E77" s="18"/>
      <c r="F77" s="23"/>
      <c r="G77" s="15"/>
      <c r="H77" s="26"/>
      <c r="I77" s="49" t="s">
        <v>146</v>
      </c>
      <c r="J77" s="42" t="s">
        <v>143</v>
      </c>
      <c r="K77" s="15"/>
      <c r="L77" s="15"/>
      <c r="M77" s="15"/>
      <c r="N77" s="15"/>
      <c r="O77" s="15"/>
      <c r="P77" s="15"/>
      <c r="Q77" s="15"/>
      <c r="R77" s="16"/>
      <c r="S77" s="33" t="s">
        <v>141</v>
      </c>
      <c r="T77" s="9"/>
      <c r="U77" s="9"/>
      <c r="V77" s="9" t="s">
        <v>318</v>
      </c>
    </row>
    <row r="78" spans="2:22">
      <c r="B78" s="33">
        <f t="shared" si="2"/>
        <v>76</v>
      </c>
      <c r="C78" s="17"/>
      <c r="D78" s="22"/>
      <c r="E78" s="18"/>
      <c r="F78" s="23"/>
      <c r="G78" s="15"/>
      <c r="H78" s="26"/>
      <c r="I78" s="49" t="s">
        <v>146</v>
      </c>
      <c r="J78" s="42" t="s">
        <v>143</v>
      </c>
      <c r="K78" s="15"/>
      <c r="L78" s="15"/>
      <c r="M78" s="15"/>
      <c r="N78" s="15"/>
      <c r="O78" s="15"/>
      <c r="P78" s="15"/>
      <c r="Q78" s="15"/>
      <c r="R78" s="16"/>
      <c r="S78" s="33" t="s">
        <v>141</v>
      </c>
      <c r="T78" s="9"/>
      <c r="U78" s="9"/>
      <c r="V78" s="9"/>
    </row>
    <row r="79" spans="2:22">
      <c r="B79" s="33">
        <f t="shared" si="2"/>
        <v>77</v>
      </c>
      <c r="C79" s="17"/>
      <c r="D79" s="22"/>
      <c r="E79" s="18"/>
      <c r="F79" s="23"/>
      <c r="G79" s="15"/>
      <c r="H79" s="34" t="s">
        <v>183</v>
      </c>
      <c r="I79" s="15"/>
      <c r="J79" s="15"/>
      <c r="K79" s="15"/>
      <c r="L79" s="15"/>
      <c r="M79" s="15"/>
      <c r="N79" s="15"/>
      <c r="O79" s="15"/>
      <c r="P79" s="15"/>
      <c r="Q79" s="15"/>
      <c r="R79" s="16"/>
      <c r="S79" s="33" t="s">
        <v>152</v>
      </c>
      <c r="T79" s="35" t="s">
        <v>144</v>
      </c>
      <c r="U79" s="9"/>
      <c r="V79" s="9"/>
    </row>
    <row r="80" spans="2:22">
      <c r="B80" s="33">
        <f t="shared" si="2"/>
        <v>78</v>
      </c>
      <c r="C80" s="17"/>
      <c r="D80" s="22"/>
      <c r="E80" s="18"/>
      <c r="F80" s="23"/>
      <c r="G80" s="15"/>
      <c r="H80" s="43" t="s">
        <v>38</v>
      </c>
      <c r="I80" s="26"/>
      <c r="J80" s="26"/>
      <c r="K80" s="26"/>
      <c r="L80" s="26"/>
      <c r="M80" s="26"/>
      <c r="N80" s="26"/>
      <c r="O80" s="26"/>
      <c r="P80" s="26"/>
      <c r="Q80" s="26"/>
      <c r="R80" s="27"/>
      <c r="S80" s="44" t="s">
        <v>143</v>
      </c>
      <c r="T80" s="45" t="s">
        <v>144</v>
      </c>
      <c r="U80" s="28"/>
      <c r="V80" s="28"/>
    </row>
    <row r="81" spans="2:22">
      <c r="B81" s="33">
        <f t="shared" si="2"/>
        <v>79</v>
      </c>
      <c r="C81" s="17"/>
      <c r="D81" s="22"/>
      <c r="E81" s="18"/>
      <c r="F81" s="23"/>
      <c r="G81" s="15"/>
      <c r="H81" s="26"/>
      <c r="I81" s="49" t="s">
        <v>146</v>
      </c>
      <c r="J81" s="34" t="s">
        <v>184</v>
      </c>
      <c r="K81" s="15"/>
      <c r="L81" s="15"/>
      <c r="M81" s="15"/>
      <c r="N81" s="15"/>
      <c r="O81" s="15"/>
      <c r="P81" s="15"/>
      <c r="Q81" s="15"/>
      <c r="R81" s="16"/>
      <c r="S81" s="33" t="s">
        <v>141</v>
      </c>
      <c r="T81" s="35" t="s">
        <v>144</v>
      </c>
      <c r="U81" s="9"/>
      <c r="V81" s="9"/>
    </row>
    <row r="82" spans="2:22">
      <c r="B82" s="33">
        <f t="shared" si="2"/>
        <v>80</v>
      </c>
      <c r="C82" s="17"/>
      <c r="D82" s="22"/>
      <c r="E82" s="18"/>
      <c r="F82" s="23"/>
      <c r="G82" s="15"/>
      <c r="H82" s="26"/>
      <c r="I82" s="49" t="s">
        <v>146</v>
      </c>
      <c r="J82" s="34" t="s">
        <v>184</v>
      </c>
      <c r="K82" s="15"/>
      <c r="L82" s="15"/>
      <c r="M82" s="15"/>
      <c r="N82" s="15"/>
      <c r="O82" s="15"/>
      <c r="P82" s="15"/>
      <c r="Q82" s="15"/>
      <c r="R82" s="16"/>
      <c r="S82" s="33" t="s">
        <v>141</v>
      </c>
      <c r="T82" s="35" t="s">
        <v>144</v>
      </c>
      <c r="U82" s="9"/>
      <c r="V82" s="9"/>
    </row>
    <row r="83" spans="2:22">
      <c r="B83" s="33">
        <f t="shared" si="2"/>
        <v>81</v>
      </c>
      <c r="C83" s="17"/>
      <c r="D83" s="22"/>
      <c r="E83" s="18"/>
      <c r="F83" s="23"/>
      <c r="G83" s="15"/>
      <c r="H83" s="34" t="s">
        <v>154</v>
      </c>
      <c r="I83" s="15"/>
      <c r="J83" s="15"/>
      <c r="K83" s="15"/>
      <c r="L83" s="15"/>
      <c r="M83" s="15"/>
      <c r="N83" s="15"/>
      <c r="O83" s="15"/>
      <c r="P83" s="15"/>
      <c r="Q83" s="15"/>
      <c r="R83" s="16"/>
      <c r="S83" s="33" t="s">
        <v>141</v>
      </c>
      <c r="T83" s="35" t="s">
        <v>144</v>
      </c>
      <c r="U83" s="9"/>
      <c r="V83" s="9"/>
    </row>
    <row r="84" spans="2:22">
      <c r="B84" s="33">
        <f t="shared" si="2"/>
        <v>82</v>
      </c>
      <c r="C84" s="17"/>
      <c r="D84" s="22"/>
      <c r="E84" s="18"/>
      <c r="F84" s="23"/>
      <c r="G84" s="15"/>
      <c r="H84" s="34" t="s">
        <v>194</v>
      </c>
      <c r="I84" s="15"/>
      <c r="J84" s="15"/>
      <c r="K84" s="15"/>
      <c r="L84" s="15"/>
      <c r="M84" s="15"/>
      <c r="N84" s="15"/>
      <c r="O84" s="15"/>
      <c r="P84" s="15"/>
      <c r="Q84" s="15"/>
      <c r="R84" s="16"/>
      <c r="S84" s="33" t="s">
        <v>141</v>
      </c>
      <c r="T84" s="35" t="s">
        <v>144</v>
      </c>
      <c r="U84" s="9"/>
      <c r="V84" s="9"/>
    </row>
    <row r="85" spans="2:22">
      <c r="B85" s="33">
        <f t="shared" si="2"/>
        <v>83</v>
      </c>
      <c r="C85" s="17"/>
      <c r="D85" s="22"/>
      <c r="E85" s="18"/>
      <c r="F85" s="23"/>
      <c r="G85" s="15"/>
      <c r="H85" s="43" t="s">
        <v>59</v>
      </c>
      <c r="I85" s="26"/>
      <c r="J85" s="26"/>
      <c r="K85" s="26"/>
      <c r="L85" s="26"/>
      <c r="M85" s="26"/>
      <c r="N85" s="26"/>
      <c r="O85" s="26"/>
      <c r="P85" s="26"/>
      <c r="Q85" s="26"/>
      <c r="R85" s="27"/>
      <c r="S85" s="44" t="s">
        <v>143</v>
      </c>
      <c r="T85" s="45" t="s">
        <v>144</v>
      </c>
      <c r="U85" s="28"/>
      <c r="V85" s="28"/>
    </row>
    <row r="86" spans="2:22">
      <c r="B86" s="33">
        <f t="shared" si="2"/>
        <v>84</v>
      </c>
      <c r="C86" s="17"/>
      <c r="D86" s="22"/>
      <c r="E86" s="18"/>
      <c r="F86" s="23"/>
      <c r="G86" s="15"/>
      <c r="H86" s="26"/>
      <c r="I86" s="49" t="s">
        <v>146</v>
      </c>
      <c r="J86" s="34" t="s">
        <v>195</v>
      </c>
      <c r="K86" s="15"/>
      <c r="L86" s="15"/>
      <c r="M86" s="15"/>
      <c r="N86" s="15"/>
      <c r="O86" s="15"/>
      <c r="P86" s="15"/>
      <c r="Q86" s="15"/>
      <c r="R86" s="16"/>
      <c r="S86" s="33" t="s">
        <v>145</v>
      </c>
      <c r="T86" s="35" t="s">
        <v>144</v>
      </c>
      <c r="U86" s="9"/>
      <c r="V86" s="50" t="s">
        <v>229</v>
      </c>
    </row>
    <row r="87" spans="2:22">
      <c r="B87" s="33">
        <f t="shared" si="2"/>
        <v>85</v>
      </c>
      <c r="C87" s="17"/>
      <c r="D87" s="22"/>
      <c r="E87" s="18"/>
      <c r="F87" s="23"/>
      <c r="G87" s="15"/>
      <c r="H87" s="26"/>
      <c r="I87" s="15"/>
      <c r="J87" s="34" t="s">
        <v>194</v>
      </c>
      <c r="K87" s="15"/>
      <c r="L87" s="15"/>
      <c r="M87" s="15"/>
      <c r="N87" s="15"/>
      <c r="O87" s="15"/>
      <c r="P87" s="15"/>
      <c r="Q87" s="15"/>
      <c r="R87" s="16"/>
      <c r="S87" s="33" t="s">
        <v>141</v>
      </c>
      <c r="T87" s="35" t="s">
        <v>144</v>
      </c>
      <c r="U87" s="9"/>
      <c r="V87" s="9" t="s">
        <v>284</v>
      </c>
    </row>
    <row r="88" spans="2:22">
      <c r="B88" s="33">
        <f t="shared" si="2"/>
        <v>86</v>
      </c>
      <c r="C88" s="17"/>
      <c r="D88" s="22"/>
      <c r="E88" s="18"/>
      <c r="F88" s="23"/>
      <c r="G88" s="15"/>
      <c r="H88" s="26"/>
      <c r="I88" s="49" t="s">
        <v>146</v>
      </c>
      <c r="J88" s="34" t="s">
        <v>195</v>
      </c>
      <c r="K88" s="15"/>
      <c r="L88" s="15"/>
      <c r="M88" s="15"/>
      <c r="N88" s="15"/>
      <c r="O88" s="15"/>
      <c r="P88" s="15"/>
      <c r="Q88" s="15"/>
      <c r="R88" s="16"/>
      <c r="S88" s="33" t="s">
        <v>145</v>
      </c>
      <c r="T88" s="35" t="s">
        <v>144</v>
      </c>
      <c r="U88" s="9"/>
      <c r="V88" s="9"/>
    </row>
    <row r="89" spans="2:22">
      <c r="B89" s="33">
        <f t="shared" si="2"/>
        <v>87</v>
      </c>
      <c r="C89" s="17"/>
      <c r="D89" s="22"/>
      <c r="E89" s="18"/>
      <c r="F89" s="23"/>
      <c r="G89" s="15"/>
      <c r="H89" s="26"/>
      <c r="I89" s="15"/>
      <c r="J89" s="34" t="s">
        <v>194</v>
      </c>
      <c r="K89" s="15"/>
      <c r="L89" s="15"/>
      <c r="M89" s="15"/>
      <c r="N89" s="15"/>
      <c r="O89" s="15"/>
      <c r="P89" s="15"/>
      <c r="Q89" s="15"/>
      <c r="R89" s="16"/>
      <c r="S89" s="33" t="s">
        <v>141</v>
      </c>
      <c r="T89" s="35" t="s">
        <v>144</v>
      </c>
      <c r="U89" s="9"/>
      <c r="V89" s="9"/>
    </row>
    <row r="90" spans="2:22">
      <c r="B90" s="33">
        <f t="shared" si="2"/>
        <v>88</v>
      </c>
      <c r="C90" s="17"/>
      <c r="D90" s="22"/>
      <c r="E90" s="18"/>
      <c r="F90" s="23"/>
      <c r="G90" s="15"/>
      <c r="H90" s="34" t="s">
        <v>196</v>
      </c>
      <c r="I90" s="15"/>
      <c r="J90" s="15"/>
      <c r="K90" s="15"/>
      <c r="L90" s="15"/>
      <c r="M90" s="15"/>
      <c r="N90" s="15"/>
      <c r="O90" s="15"/>
      <c r="P90" s="15"/>
      <c r="Q90" s="15"/>
      <c r="R90" s="16"/>
      <c r="S90" s="33" t="s">
        <v>152</v>
      </c>
      <c r="T90" s="35" t="s">
        <v>144</v>
      </c>
      <c r="U90" s="9"/>
      <c r="V90" s="9"/>
    </row>
    <row r="91" spans="2:22">
      <c r="B91" s="33">
        <f t="shared" si="2"/>
        <v>89</v>
      </c>
      <c r="C91" s="17"/>
      <c r="D91" s="22"/>
      <c r="E91" s="18"/>
      <c r="F91" s="23"/>
      <c r="G91" s="15"/>
      <c r="H91" s="34" t="s">
        <v>155</v>
      </c>
      <c r="I91" s="15"/>
      <c r="J91" s="15"/>
      <c r="K91" s="15"/>
      <c r="L91" s="15"/>
      <c r="M91" s="15"/>
      <c r="N91" s="15"/>
      <c r="O91" s="15"/>
      <c r="P91" s="15"/>
      <c r="Q91" s="15"/>
      <c r="R91" s="16"/>
      <c r="S91" s="33" t="s">
        <v>141</v>
      </c>
      <c r="T91" s="35" t="s">
        <v>144</v>
      </c>
      <c r="U91" s="9"/>
      <c r="V91" s="9" t="s">
        <v>304</v>
      </c>
    </row>
    <row r="92" spans="2:22">
      <c r="B92" s="33">
        <f t="shared" si="2"/>
        <v>90</v>
      </c>
      <c r="C92" s="17"/>
      <c r="D92" s="22"/>
      <c r="E92" s="18"/>
      <c r="F92" s="23"/>
      <c r="G92" s="49" t="s">
        <v>146</v>
      </c>
      <c r="H92" s="34" t="s">
        <v>192</v>
      </c>
      <c r="I92" s="15"/>
      <c r="J92" s="15"/>
      <c r="K92" s="15"/>
      <c r="L92" s="15"/>
      <c r="M92" s="15"/>
      <c r="N92" s="15"/>
      <c r="O92" s="15"/>
      <c r="P92" s="15"/>
      <c r="Q92" s="15"/>
      <c r="R92" s="16"/>
      <c r="S92" s="33" t="s">
        <v>145</v>
      </c>
      <c r="T92" s="35" t="s">
        <v>144</v>
      </c>
      <c r="U92" s="9"/>
      <c r="V92" s="9"/>
    </row>
    <row r="93" spans="2:22">
      <c r="B93" s="33">
        <f t="shared" si="2"/>
        <v>91</v>
      </c>
      <c r="C93" s="17"/>
      <c r="D93" s="22"/>
      <c r="E93" s="18"/>
      <c r="F93" s="23"/>
      <c r="G93" s="15"/>
      <c r="H93" s="34" t="s">
        <v>161</v>
      </c>
      <c r="I93" s="15"/>
      <c r="J93" s="15"/>
      <c r="K93" s="15"/>
      <c r="L93" s="15"/>
      <c r="M93" s="15"/>
      <c r="N93" s="15"/>
      <c r="O93" s="15"/>
      <c r="P93" s="15"/>
      <c r="Q93" s="15"/>
      <c r="R93" s="16"/>
      <c r="S93" s="33" t="s">
        <v>145</v>
      </c>
      <c r="T93" s="35" t="s">
        <v>144</v>
      </c>
      <c r="U93" s="9"/>
      <c r="V93" s="9"/>
    </row>
    <row r="94" spans="2:22">
      <c r="B94" s="33">
        <f t="shared" si="2"/>
        <v>92</v>
      </c>
      <c r="C94" s="17"/>
      <c r="D94" s="22"/>
      <c r="E94" s="18"/>
      <c r="F94" s="23"/>
      <c r="G94" s="15"/>
      <c r="H94" s="34" t="s">
        <v>156</v>
      </c>
      <c r="I94" s="15"/>
      <c r="J94" s="15"/>
      <c r="K94" s="15"/>
      <c r="L94" s="15"/>
      <c r="M94" s="15"/>
      <c r="N94" s="15"/>
      <c r="O94" s="15"/>
      <c r="P94" s="15"/>
      <c r="Q94" s="15"/>
      <c r="R94" s="16"/>
      <c r="S94" s="33" t="s">
        <v>141</v>
      </c>
      <c r="T94" s="35" t="s">
        <v>144</v>
      </c>
      <c r="U94" s="9"/>
      <c r="V94" s="9"/>
    </row>
    <row r="95" spans="2:22">
      <c r="B95" s="33">
        <f t="shared" si="2"/>
        <v>93</v>
      </c>
      <c r="C95" s="17"/>
      <c r="D95" s="22"/>
      <c r="E95" s="18"/>
      <c r="F95" s="23"/>
      <c r="G95" s="15"/>
      <c r="H95" s="34" t="s">
        <v>193</v>
      </c>
      <c r="I95" s="15"/>
      <c r="J95" s="15"/>
      <c r="K95" s="15"/>
      <c r="L95" s="15"/>
      <c r="M95" s="15"/>
      <c r="N95" s="15"/>
      <c r="O95" s="15"/>
      <c r="P95" s="15"/>
      <c r="Q95" s="15"/>
      <c r="R95" s="16"/>
      <c r="S95" s="33" t="s">
        <v>141</v>
      </c>
      <c r="T95" s="35" t="s">
        <v>144</v>
      </c>
      <c r="U95" s="9"/>
      <c r="V95" s="9"/>
    </row>
    <row r="96" spans="2:22">
      <c r="B96" s="33">
        <f t="shared" si="2"/>
        <v>94</v>
      </c>
      <c r="C96" s="17"/>
      <c r="D96" s="22"/>
      <c r="E96" s="18"/>
      <c r="F96" s="23"/>
      <c r="G96" s="15"/>
      <c r="H96" s="43" t="s">
        <v>53</v>
      </c>
      <c r="I96" s="26"/>
      <c r="J96" s="26"/>
      <c r="K96" s="26"/>
      <c r="L96" s="26"/>
      <c r="M96" s="26"/>
      <c r="N96" s="26"/>
      <c r="O96" s="26"/>
      <c r="P96" s="26"/>
      <c r="Q96" s="26"/>
      <c r="R96" s="27"/>
      <c r="S96" s="44" t="s">
        <v>143</v>
      </c>
      <c r="T96" s="45" t="s">
        <v>144</v>
      </c>
      <c r="U96" s="28"/>
      <c r="V96" s="28"/>
    </row>
    <row r="97" spans="2:22">
      <c r="B97" s="33">
        <f t="shared" si="2"/>
        <v>95</v>
      </c>
      <c r="C97" s="17"/>
      <c r="D97" s="22"/>
      <c r="E97" s="18"/>
      <c r="F97" s="23"/>
      <c r="G97" s="15"/>
      <c r="H97" s="26"/>
      <c r="I97" s="49" t="s">
        <v>146</v>
      </c>
      <c r="J97" s="42" t="s">
        <v>143</v>
      </c>
      <c r="K97" s="15"/>
      <c r="L97" s="15"/>
      <c r="M97" s="15"/>
      <c r="N97" s="15"/>
      <c r="O97" s="15"/>
      <c r="P97" s="15"/>
      <c r="Q97" s="15"/>
      <c r="R97" s="16"/>
      <c r="S97" s="33" t="s">
        <v>141</v>
      </c>
      <c r="T97" s="9"/>
      <c r="U97" s="9"/>
      <c r="V97" s="9"/>
    </row>
    <row r="98" spans="2:22">
      <c r="B98" s="33">
        <f t="shared" si="2"/>
        <v>96</v>
      </c>
      <c r="C98" s="17"/>
      <c r="D98" s="22"/>
      <c r="E98" s="18"/>
      <c r="F98" s="23"/>
      <c r="G98" s="15"/>
      <c r="H98" s="26"/>
      <c r="I98" s="49" t="s">
        <v>146</v>
      </c>
      <c r="J98" s="42" t="s">
        <v>143</v>
      </c>
      <c r="K98" s="15"/>
      <c r="L98" s="15"/>
      <c r="M98" s="15"/>
      <c r="N98" s="15"/>
      <c r="O98" s="15"/>
      <c r="P98" s="15"/>
      <c r="Q98" s="15"/>
      <c r="R98" s="16"/>
      <c r="S98" s="33" t="s">
        <v>141</v>
      </c>
      <c r="T98" s="9"/>
      <c r="U98" s="9"/>
      <c r="V98" s="9"/>
    </row>
    <row r="99" spans="2:22">
      <c r="B99" s="33">
        <f t="shared" ref="B99:B130" si="3">ROW()-2</f>
        <v>97</v>
      </c>
      <c r="C99" s="17"/>
      <c r="D99" s="22"/>
      <c r="E99" s="18"/>
      <c r="F99" s="23"/>
      <c r="G99" s="15"/>
      <c r="H99" s="34" t="s">
        <v>183</v>
      </c>
      <c r="I99" s="15"/>
      <c r="J99" s="15"/>
      <c r="K99" s="15"/>
      <c r="L99" s="15"/>
      <c r="M99" s="15"/>
      <c r="N99" s="15"/>
      <c r="O99" s="15"/>
      <c r="P99" s="15"/>
      <c r="Q99" s="15"/>
      <c r="R99" s="16"/>
      <c r="S99" s="33" t="s">
        <v>152</v>
      </c>
      <c r="T99" s="35" t="s">
        <v>144</v>
      </c>
      <c r="U99" s="9"/>
      <c r="V99" s="9"/>
    </row>
    <row r="100" spans="2:22">
      <c r="B100" s="33">
        <f t="shared" si="3"/>
        <v>98</v>
      </c>
      <c r="C100" s="17"/>
      <c r="D100" s="22"/>
      <c r="E100" s="18"/>
      <c r="F100" s="23"/>
      <c r="G100" s="15"/>
      <c r="H100" s="43" t="s">
        <v>38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7"/>
      <c r="S100" s="44" t="s">
        <v>143</v>
      </c>
      <c r="T100" s="45" t="s">
        <v>144</v>
      </c>
      <c r="U100" s="28"/>
      <c r="V100" s="28"/>
    </row>
    <row r="101" spans="2:22">
      <c r="B101" s="33">
        <f t="shared" si="3"/>
        <v>99</v>
      </c>
      <c r="C101" s="17"/>
      <c r="D101" s="22"/>
      <c r="E101" s="18"/>
      <c r="F101" s="23"/>
      <c r="G101" s="15"/>
      <c r="H101" s="26"/>
      <c r="I101" s="49" t="s">
        <v>146</v>
      </c>
      <c r="J101" s="34" t="s">
        <v>184</v>
      </c>
      <c r="K101" s="15"/>
      <c r="L101" s="15"/>
      <c r="M101" s="15"/>
      <c r="N101" s="15"/>
      <c r="O101" s="15"/>
      <c r="P101" s="15"/>
      <c r="Q101" s="15"/>
      <c r="R101" s="16"/>
      <c r="S101" s="33" t="s">
        <v>141</v>
      </c>
      <c r="T101" s="35" t="s">
        <v>144</v>
      </c>
      <c r="U101" s="9"/>
      <c r="V101" s="9"/>
    </row>
    <row r="102" spans="2:22">
      <c r="B102" s="33">
        <f t="shared" si="3"/>
        <v>100</v>
      </c>
      <c r="C102" s="17"/>
      <c r="D102" s="22"/>
      <c r="E102" s="18"/>
      <c r="F102" s="23"/>
      <c r="G102" s="15"/>
      <c r="H102" s="26"/>
      <c r="I102" s="49" t="s">
        <v>146</v>
      </c>
      <c r="J102" s="34" t="s">
        <v>184</v>
      </c>
      <c r="K102" s="15"/>
      <c r="L102" s="15"/>
      <c r="M102" s="15"/>
      <c r="N102" s="15"/>
      <c r="O102" s="15"/>
      <c r="P102" s="15"/>
      <c r="Q102" s="15"/>
      <c r="R102" s="16"/>
      <c r="S102" s="33" t="s">
        <v>141</v>
      </c>
      <c r="T102" s="35" t="s">
        <v>144</v>
      </c>
      <c r="U102" s="9"/>
      <c r="V102" s="9"/>
    </row>
    <row r="103" spans="2:22">
      <c r="B103" s="33">
        <f t="shared" si="3"/>
        <v>101</v>
      </c>
      <c r="C103" s="17"/>
      <c r="D103" s="22"/>
      <c r="E103" s="18"/>
      <c r="F103" s="23"/>
      <c r="G103" s="15"/>
      <c r="H103" s="34" t="s">
        <v>154</v>
      </c>
      <c r="I103" s="15"/>
      <c r="J103" s="15"/>
      <c r="K103" s="15"/>
      <c r="L103" s="15"/>
      <c r="M103" s="15"/>
      <c r="N103" s="15"/>
      <c r="O103" s="15"/>
      <c r="P103" s="15"/>
      <c r="Q103" s="15"/>
      <c r="R103" s="16"/>
      <c r="S103" s="33" t="s">
        <v>141</v>
      </c>
      <c r="T103" s="35" t="s">
        <v>144</v>
      </c>
      <c r="U103" s="9"/>
      <c r="V103" s="9"/>
    </row>
    <row r="104" spans="2:22">
      <c r="B104" s="33">
        <f t="shared" si="3"/>
        <v>102</v>
      </c>
      <c r="C104" s="17"/>
      <c r="D104" s="22"/>
      <c r="E104" s="18"/>
      <c r="F104" s="23"/>
      <c r="G104" s="15"/>
      <c r="H104" s="34" t="s">
        <v>194</v>
      </c>
      <c r="I104" s="15"/>
      <c r="J104" s="15"/>
      <c r="K104" s="15"/>
      <c r="L104" s="15"/>
      <c r="M104" s="15"/>
      <c r="N104" s="15"/>
      <c r="O104" s="15"/>
      <c r="P104" s="15"/>
      <c r="Q104" s="15"/>
      <c r="R104" s="16"/>
      <c r="S104" s="33" t="s">
        <v>141</v>
      </c>
      <c r="T104" s="35" t="s">
        <v>144</v>
      </c>
      <c r="U104" s="9"/>
      <c r="V104" s="9"/>
    </row>
    <row r="105" spans="2:22">
      <c r="B105" s="33">
        <f t="shared" si="3"/>
        <v>103</v>
      </c>
      <c r="C105" s="17"/>
      <c r="D105" s="22"/>
      <c r="E105" s="18"/>
      <c r="F105" s="23"/>
      <c r="G105" s="15"/>
      <c r="H105" s="43" t="s">
        <v>59</v>
      </c>
      <c r="I105" s="26"/>
      <c r="J105" s="26"/>
      <c r="K105" s="26"/>
      <c r="L105" s="26"/>
      <c r="M105" s="26"/>
      <c r="N105" s="26"/>
      <c r="O105" s="26"/>
      <c r="P105" s="26"/>
      <c r="Q105" s="26"/>
      <c r="R105" s="27"/>
      <c r="S105" s="44" t="s">
        <v>143</v>
      </c>
      <c r="T105" s="45" t="s">
        <v>144</v>
      </c>
      <c r="U105" s="28"/>
      <c r="V105" s="28"/>
    </row>
    <row r="106" spans="2:22">
      <c r="B106" s="33">
        <f t="shared" si="3"/>
        <v>104</v>
      </c>
      <c r="C106" s="17"/>
      <c r="D106" s="22"/>
      <c r="E106" s="18"/>
      <c r="F106" s="23"/>
      <c r="G106" s="15"/>
      <c r="H106" s="26"/>
      <c r="I106" s="49" t="s">
        <v>146</v>
      </c>
      <c r="J106" s="34" t="s">
        <v>195</v>
      </c>
      <c r="K106" s="15"/>
      <c r="L106" s="15"/>
      <c r="M106" s="15"/>
      <c r="N106" s="15"/>
      <c r="O106" s="15"/>
      <c r="P106" s="15"/>
      <c r="Q106" s="15"/>
      <c r="R106" s="16"/>
      <c r="S106" s="33" t="s">
        <v>145</v>
      </c>
      <c r="T106" s="35" t="s">
        <v>144</v>
      </c>
      <c r="U106" s="9"/>
      <c r="V106" s="9"/>
    </row>
    <row r="107" spans="2:22">
      <c r="B107" s="33">
        <f t="shared" si="3"/>
        <v>105</v>
      </c>
      <c r="C107" s="17"/>
      <c r="D107" s="22"/>
      <c r="E107" s="18"/>
      <c r="F107" s="23"/>
      <c r="G107" s="15"/>
      <c r="H107" s="26"/>
      <c r="I107" s="15"/>
      <c r="J107" s="34" t="s">
        <v>194</v>
      </c>
      <c r="K107" s="15"/>
      <c r="L107" s="15"/>
      <c r="M107" s="15"/>
      <c r="N107" s="15"/>
      <c r="O107" s="15"/>
      <c r="P107" s="15"/>
      <c r="Q107" s="15"/>
      <c r="R107" s="16"/>
      <c r="S107" s="33" t="s">
        <v>141</v>
      </c>
      <c r="T107" s="35" t="s">
        <v>144</v>
      </c>
      <c r="U107" s="9"/>
      <c r="V107" s="9"/>
    </row>
    <row r="108" spans="2:22">
      <c r="B108" s="33">
        <f t="shared" si="3"/>
        <v>106</v>
      </c>
      <c r="C108" s="17"/>
      <c r="D108" s="22"/>
      <c r="E108" s="18"/>
      <c r="F108" s="23"/>
      <c r="G108" s="15"/>
      <c r="H108" s="26"/>
      <c r="I108" s="49" t="s">
        <v>146</v>
      </c>
      <c r="J108" s="34" t="s">
        <v>195</v>
      </c>
      <c r="K108" s="15"/>
      <c r="L108" s="15"/>
      <c r="M108" s="15"/>
      <c r="N108" s="15"/>
      <c r="O108" s="15"/>
      <c r="P108" s="15"/>
      <c r="Q108" s="15"/>
      <c r="R108" s="16"/>
      <c r="S108" s="33" t="s">
        <v>145</v>
      </c>
      <c r="T108" s="35" t="s">
        <v>144</v>
      </c>
      <c r="U108" s="9"/>
      <c r="V108" s="9"/>
    </row>
    <row r="109" spans="2:22">
      <c r="B109" s="33">
        <f t="shared" si="3"/>
        <v>107</v>
      </c>
      <c r="C109" s="17"/>
      <c r="D109" s="22"/>
      <c r="E109" s="18"/>
      <c r="F109" s="23"/>
      <c r="G109" s="15"/>
      <c r="H109" s="26"/>
      <c r="I109" s="15"/>
      <c r="J109" s="34" t="s">
        <v>194</v>
      </c>
      <c r="K109" s="15"/>
      <c r="L109" s="15"/>
      <c r="M109" s="15"/>
      <c r="N109" s="15"/>
      <c r="O109" s="15"/>
      <c r="P109" s="15"/>
      <c r="Q109" s="15"/>
      <c r="R109" s="16"/>
      <c r="S109" s="33" t="s">
        <v>141</v>
      </c>
      <c r="T109" s="35" t="s">
        <v>144</v>
      </c>
      <c r="U109" s="9"/>
      <c r="V109" s="9"/>
    </row>
    <row r="110" spans="2:22">
      <c r="B110" s="33">
        <f t="shared" si="3"/>
        <v>108</v>
      </c>
      <c r="C110" s="17"/>
      <c r="D110" s="22"/>
      <c r="E110" s="18"/>
      <c r="F110" s="23"/>
      <c r="G110" s="15"/>
      <c r="H110" s="34" t="s">
        <v>196</v>
      </c>
      <c r="I110" s="15"/>
      <c r="J110" s="15"/>
      <c r="K110" s="15"/>
      <c r="L110" s="15"/>
      <c r="M110" s="15"/>
      <c r="N110" s="15"/>
      <c r="O110" s="15"/>
      <c r="P110" s="15"/>
      <c r="Q110" s="15"/>
      <c r="R110" s="16"/>
      <c r="S110" s="33" t="s">
        <v>152</v>
      </c>
      <c r="T110" s="35" t="s">
        <v>144</v>
      </c>
      <c r="U110" s="9"/>
      <c r="V110" s="9"/>
    </row>
    <row r="111" spans="2:22">
      <c r="B111" s="33">
        <f t="shared" si="3"/>
        <v>109</v>
      </c>
      <c r="C111" s="17"/>
      <c r="D111" s="22"/>
      <c r="E111" s="18"/>
      <c r="F111" s="23"/>
      <c r="G111" s="15"/>
      <c r="H111" s="34" t="s">
        <v>155</v>
      </c>
      <c r="I111" s="15"/>
      <c r="J111" s="15"/>
      <c r="K111" s="15"/>
      <c r="L111" s="15"/>
      <c r="M111" s="15"/>
      <c r="N111" s="15"/>
      <c r="O111" s="15"/>
      <c r="P111" s="15"/>
      <c r="Q111" s="15"/>
      <c r="R111" s="16"/>
      <c r="S111" s="33" t="s">
        <v>141</v>
      </c>
      <c r="T111" s="35" t="s">
        <v>144</v>
      </c>
      <c r="U111" s="9"/>
      <c r="V111" s="9"/>
    </row>
    <row r="112" spans="2:22">
      <c r="B112" s="33">
        <f t="shared" si="3"/>
        <v>110</v>
      </c>
      <c r="C112" s="17"/>
      <c r="D112" s="22"/>
      <c r="E112" s="18"/>
      <c r="F112" s="34" t="s">
        <v>197</v>
      </c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6"/>
      <c r="S112" s="33" t="s">
        <v>141</v>
      </c>
      <c r="T112" s="35" t="s">
        <v>144</v>
      </c>
      <c r="U112" s="9"/>
      <c r="V112" s="9"/>
    </row>
    <row r="113" spans="2:22">
      <c r="B113" s="33">
        <f t="shared" si="3"/>
        <v>111</v>
      </c>
      <c r="C113" s="17"/>
      <c r="D113" s="22"/>
      <c r="E113" s="18"/>
      <c r="F113" s="34" t="s">
        <v>194</v>
      </c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6"/>
      <c r="S113" s="33" t="s">
        <v>141</v>
      </c>
      <c r="T113" s="35" t="s">
        <v>144</v>
      </c>
      <c r="U113" s="9"/>
      <c r="V113" s="9"/>
    </row>
    <row r="114" spans="2:22">
      <c r="B114" s="33">
        <f t="shared" si="3"/>
        <v>112</v>
      </c>
      <c r="C114" s="17"/>
      <c r="D114" s="22"/>
      <c r="E114" s="18"/>
      <c r="F114" s="34" t="s">
        <v>198</v>
      </c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6"/>
      <c r="S114" s="33" t="s">
        <v>141</v>
      </c>
      <c r="T114" s="35" t="s">
        <v>144</v>
      </c>
      <c r="U114" s="9"/>
      <c r="V114" s="9"/>
    </row>
    <row r="115" spans="2:22">
      <c r="B115" s="33">
        <f t="shared" si="3"/>
        <v>113</v>
      </c>
      <c r="C115" s="17"/>
      <c r="D115" s="22"/>
      <c r="E115" s="18"/>
      <c r="F115" s="39" t="s">
        <v>64</v>
      </c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4"/>
      <c r="S115" s="40" t="s">
        <v>143</v>
      </c>
      <c r="T115" s="41" t="s">
        <v>144</v>
      </c>
      <c r="U115" s="25"/>
      <c r="V115" s="25"/>
    </row>
    <row r="116" spans="2:22">
      <c r="B116" s="33">
        <f t="shared" si="3"/>
        <v>114</v>
      </c>
      <c r="C116" s="17"/>
      <c r="D116" s="22"/>
      <c r="E116" s="18"/>
      <c r="F116" s="23"/>
      <c r="G116" s="49" t="s">
        <v>146</v>
      </c>
      <c r="H116" s="42" t="s">
        <v>143</v>
      </c>
      <c r="I116" s="15"/>
      <c r="J116" s="15"/>
      <c r="K116" s="15"/>
      <c r="L116" s="15"/>
      <c r="M116" s="15"/>
      <c r="N116" s="15"/>
      <c r="O116" s="15"/>
      <c r="P116" s="15"/>
      <c r="Q116" s="15"/>
      <c r="R116" s="16"/>
      <c r="S116" s="33" t="s">
        <v>141</v>
      </c>
      <c r="T116" s="9"/>
      <c r="U116" s="9"/>
      <c r="V116" s="9"/>
    </row>
    <row r="117" spans="2:22">
      <c r="B117" s="33">
        <f t="shared" si="3"/>
        <v>115</v>
      </c>
      <c r="C117" s="17"/>
      <c r="D117" s="22"/>
      <c r="E117" s="18"/>
      <c r="F117" s="23"/>
      <c r="G117" s="49" t="s">
        <v>146</v>
      </c>
      <c r="H117" s="42" t="s">
        <v>143</v>
      </c>
      <c r="I117" s="15"/>
      <c r="J117" s="15"/>
      <c r="K117" s="15"/>
      <c r="L117" s="15"/>
      <c r="M117" s="15"/>
      <c r="N117" s="15"/>
      <c r="O117" s="15"/>
      <c r="P117" s="15"/>
      <c r="Q117" s="15"/>
      <c r="R117" s="16"/>
      <c r="S117" s="33" t="s">
        <v>141</v>
      </c>
      <c r="T117" s="9"/>
      <c r="U117" s="9"/>
      <c r="V117" s="9"/>
    </row>
    <row r="118" spans="2:22">
      <c r="B118" s="33">
        <f t="shared" si="3"/>
        <v>116</v>
      </c>
      <c r="C118" s="17"/>
      <c r="D118" s="22"/>
      <c r="E118" s="18"/>
      <c r="F118" s="39" t="s">
        <v>65</v>
      </c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4"/>
      <c r="S118" s="40" t="s">
        <v>143</v>
      </c>
      <c r="T118" s="41" t="s">
        <v>144</v>
      </c>
      <c r="U118" s="25"/>
      <c r="V118" s="25"/>
    </row>
    <row r="119" spans="2:22">
      <c r="B119" s="33">
        <f t="shared" si="3"/>
        <v>117</v>
      </c>
      <c r="C119" s="17"/>
      <c r="D119" s="22"/>
      <c r="E119" s="18"/>
      <c r="F119" s="23"/>
      <c r="G119" s="49" t="s">
        <v>146</v>
      </c>
      <c r="H119" s="42" t="s">
        <v>143</v>
      </c>
      <c r="I119" s="15"/>
      <c r="J119" s="15"/>
      <c r="K119" s="15"/>
      <c r="L119" s="15"/>
      <c r="M119" s="15"/>
      <c r="N119" s="15"/>
      <c r="O119" s="15"/>
      <c r="P119" s="15"/>
      <c r="Q119" s="15"/>
      <c r="R119" s="16"/>
      <c r="S119" s="33" t="s">
        <v>141</v>
      </c>
      <c r="T119" s="9"/>
      <c r="U119" s="9"/>
      <c r="V119" s="9"/>
    </row>
    <row r="120" spans="2:22">
      <c r="B120" s="33">
        <f t="shared" si="3"/>
        <v>118</v>
      </c>
      <c r="C120" s="17"/>
      <c r="D120" s="22"/>
      <c r="E120" s="18"/>
      <c r="F120" s="23"/>
      <c r="G120" s="49" t="s">
        <v>146</v>
      </c>
      <c r="H120" s="42" t="s">
        <v>143</v>
      </c>
      <c r="I120" s="15"/>
      <c r="J120" s="15"/>
      <c r="K120" s="15"/>
      <c r="L120" s="15"/>
      <c r="M120" s="15"/>
      <c r="N120" s="15"/>
      <c r="O120" s="15"/>
      <c r="P120" s="15"/>
      <c r="Q120" s="15"/>
      <c r="R120" s="16"/>
      <c r="S120" s="33" t="s">
        <v>141</v>
      </c>
      <c r="T120" s="9"/>
      <c r="U120" s="9"/>
      <c r="V120" s="9"/>
    </row>
    <row r="121" spans="2:22">
      <c r="B121" s="33">
        <f t="shared" si="3"/>
        <v>119</v>
      </c>
      <c r="C121" s="17"/>
      <c r="D121" s="22"/>
      <c r="E121" s="18"/>
      <c r="F121" s="34" t="s">
        <v>199</v>
      </c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6"/>
      <c r="S121" s="33" t="s">
        <v>145</v>
      </c>
      <c r="T121" s="35" t="s">
        <v>144</v>
      </c>
      <c r="U121" s="9"/>
      <c r="V121" s="50" t="s">
        <v>320</v>
      </c>
    </row>
    <row r="122" spans="2:22">
      <c r="B122" s="33">
        <f t="shared" si="3"/>
        <v>120</v>
      </c>
      <c r="C122" s="17"/>
      <c r="D122" s="22"/>
      <c r="E122" s="18"/>
      <c r="F122" s="39" t="s">
        <v>67</v>
      </c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4"/>
      <c r="S122" s="40" t="s">
        <v>143</v>
      </c>
      <c r="T122" s="41" t="s">
        <v>144</v>
      </c>
      <c r="U122" s="25"/>
      <c r="V122" s="25"/>
    </row>
    <row r="123" spans="2:22">
      <c r="B123" s="33">
        <f t="shared" si="3"/>
        <v>121</v>
      </c>
      <c r="C123" s="17"/>
      <c r="D123" s="22"/>
      <c r="E123" s="18"/>
      <c r="F123" s="23"/>
      <c r="G123" s="49" t="s">
        <v>146</v>
      </c>
      <c r="H123" s="43" t="s">
        <v>200</v>
      </c>
      <c r="I123" s="26"/>
      <c r="J123" s="26"/>
      <c r="K123" s="26"/>
      <c r="L123" s="26"/>
      <c r="M123" s="26"/>
      <c r="N123" s="26"/>
      <c r="O123" s="26"/>
      <c r="P123" s="26"/>
      <c r="Q123" s="26"/>
      <c r="R123" s="27"/>
      <c r="S123" s="44" t="s">
        <v>143</v>
      </c>
      <c r="T123" s="45" t="s">
        <v>144</v>
      </c>
      <c r="U123" s="28"/>
      <c r="V123" s="28"/>
    </row>
    <row r="124" spans="2:22">
      <c r="B124" s="33">
        <f t="shared" si="3"/>
        <v>122</v>
      </c>
      <c r="C124" s="17"/>
      <c r="D124" s="22"/>
      <c r="E124" s="18"/>
      <c r="F124" s="23"/>
      <c r="G124" s="29"/>
      <c r="H124" s="26"/>
      <c r="I124" s="49" t="s">
        <v>146</v>
      </c>
      <c r="J124" s="34" t="s">
        <v>147</v>
      </c>
      <c r="K124" s="15"/>
      <c r="L124" s="15"/>
      <c r="M124" s="15"/>
      <c r="N124" s="15"/>
      <c r="O124" s="15"/>
      <c r="P124" s="15"/>
      <c r="Q124" s="15"/>
      <c r="R124" s="16"/>
      <c r="S124" s="33" t="s">
        <v>141</v>
      </c>
      <c r="T124" s="35" t="s">
        <v>144</v>
      </c>
      <c r="U124" s="9"/>
      <c r="V124" s="9"/>
    </row>
    <row r="125" spans="2:22">
      <c r="B125" s="33">
        <f t="shared" si="3"/>
        <v>123</v>
      </c>
      <c r="C125" s="17"/>
      <c r="D125" s="22"/>
      <c r="E125" s="18"/>
      <c r="F125" s="23"/>
      <c r="G125" s="29"/>
      <c r="H125" s="26"/>
      <c r="I125" s="15"/>
      <c r="J125" s="46" t="s">
        <v>70</v>
      </c>
      <c r="K125" s="30"/>
      <c r="L125" s="30"/>
      <c r="M125" s="30"/>
      <c r="N125" s="30"/>
      <c r="O125" s="30"/>
      <c r="P125" s="30"/>
      <c r="Q125" s="30"/>
      <c r="R125" s="31"/>
      <c r="S125" s="47" t="s">
        <v>143</v>
      </c>
      <c r="T125" s="48" t="s">
        <v>144</v>
      </c>
      <c r="U125" s="32"/>
      <c r="V125" s="32"/>
    </row>
    <row r="126" spans="2:22">
      <c r="B126" s="33">
        <f t="shared" si="3"/>
        <v>124</v>
      </c>
      <c r="C126" s="17"/>
      <c r="D126" s="22"/>
      <c r="E126" s="18"/>
      <c r="F126" s="23"/>
      <c r="G126" s="29"/>
      <c r="H126" s="26"/>
      <c r="I126" s="15"/>
      <c r="J126" s="30"/>
      <c r="K126" s="49" t="s">
        <v>146</v>
      </c>
      <c r="L126" s="42" t="s">
        <v>143</v>
      </c>
      <c r="M126" s="15"/>
      <c r="N126" s="15"/>
      <c r="O126" s="15"/>
      <c r="P126" s="15"/>
      <c r="Q126" s="15"/>
      <c r="R126" s="16"/>
      <c r="S126" s="33" t="s">
        <v>141</v>
      </c>
      <c r="T126" s="9"/>
      <c r="U126" s="9"/>
      <c r="V126" s="9"/>
    </row>
    <row r="127" spans="2:22">
      <c r="B127" s="33">
        <f t="shared" si="3"/>
        <v>125</v>
      </c>
      <c r="C127" s="17"/>
      <c r="D127" s="22"/>
      <c r="E127" s="18"/>
      <c r="F127" s="23"/>
      <c r="G127" s="29"/>
      <c r="H127" s="26"/>
      <c r="I127" s="15"/>
      <c r="J127" s="30"/>
      <c r="K127" s="49" t="s">
        <v>146</v>
      </c>
      <c r="L127" s="42" t="s">
        <v>143</v>
      </c>
      <c r="M127" s="15"/>
      <c r="N127" s="15"/>
      <c r="O127" s="15"/>
      <c r="P127" s="15"/>
      <c r="Q127" s="15"/>
      <c r="R127" s="16"/>
      <c r="S127" s="33" t="s">
        <v>141</v>
      </c>
      <c r="T127" s="9"/>
      <c r="U127" s="9"/>
      <c r="V127" s="9"/>
    </row>
    <row r="128" spans="2:22">
      <c r="B128" s="33">
        <f t="shared" si="3"/>
        <v>126</v>
      </c>
      <c r="C128" s="17"/>
      <c r="D128" s="22"/>
      <c r="E128" s="18"/>
      <c r="F128" s="23"/>
      <c r="G128" s="29"/>
      <c r="H128" s="26"/>
      <c r="I128" s="49" t="s">
        <v>146</v>
      </c>
      <c r="J128" s="34" t="s">
        <v>147</v>
      </c>
      <c r="K128" s="15"/>
      <c r="L128" s="15"/>
      <c r="M128" s="15"/>
      <c r="N128" s="15"/>
      <c r="O128" s="15"/>
      <c r="P128" s="15"/>
      <c r="Q128" s="15"/>
      <c r="R128" s="16"/>
      <c r="S128" s="33" t="s">
        <v>141</v>
      </c>
      <c r="T128" s="35" t="s">
        <v>144</v>
      </c>
      <c r="U128" s="9"/>
      <c r="V128" s="9"/>
    </row>
    <row r="129" spans="2:22">
      <c r="B129" s="33">
        <f t="shared" si="3"/>
        <v>127</v>
      </c>
      <c r="C129" s="17"/>
      <c r="D129" s="22"/>
      <c r="E129" s="18"/>
      <c r="F129" s="23"/>
      <c r="G129" s="29"/>
      <c r="H129" s="26"/>
      <c r="I129" s="15"/>
      <c r="J129" s="46" t="s">
        <v>70</v>
      </c>
      <c r="K129" s="30"/>
      <c r="L129" s="30"/>
      <c r="M129" s="30"/>
      <c r="N129" s="30"/>
      <c r="O129" s="30"/>
      <c r="P129" s="30"/>
      <c r="Q129" s="30"/>
      <c r="R129" s="31"/>
      <c r="S129" s="47" t="s">
        <v>143</v>
      </c>
      <c r="T129" s="48" t="s">
        <v>144</v>
      </c>
      <c r="U129" s="32"/>
      <c r="V129" s="32"/>
    </row>
    <row r="130" spans="2:22">
      <c r="B130" s="33">
        <f t="shared" si="3"/>
        <v>128</v>
      </c>
      <c r="C130" s="17"/>
      <c r="D130" s="22"/>
      <c r="E130" s="18"/>
      <c r="F130" s="23"/>
      <c r="G130" s="29"/>
      <c r="H130" s="26"/>
      <c r="I130" s="15"/>
      <c r="J130" s="30"/>
      <c r="K130" s="49" t="s">
        <v>146</v>
      </c>
      <c r="L130" s="42" t="s">
        <v>143</v>
      </c>
      <c r="M130" s="15"/>
      <c r="N130" s="15"/>
      <c r="O130" s="15"/>
      <c r="P130" s="15"/>
      <c r="Q130" s="15"/>
      <c r="R130" s="16"/>
      <c r="S130" s="33" t="s">
        <v>141</v>
      </c>
      <c r="T130" s="9"/>
      <c r="U130" s="9"/>
      <c r="V130" s="9"/>
    </row>
    <row r="131" spans="2:22">
      <c r="B131" s="33">
        <f t="shared" ref="B131:B155" si="4">ROW()-2</f>
        <v>129</v>
      </c>
      <c r="C131" s="17"/>
      <c r="D131" s="22"/>
      <c r="E131" s="18"/>
      <c r="F131" s="23"/>
      <c r="G131" s="29"/>
      <c r="H131" s="26"/>
      <c r="I131" s="15"/>
      <c r="J131" s="30"/>
      <c r="K131" s="49" t="s">
        <v>146</v>
      </c>
      <c r="L131" s="42" t="s">
        <v>143</v>
      </c>
      <c r="M131" s="15"/>
      <c r="N131" s="15"/>
      <c r="O131" s="15"/>
      <c r="P131" s="15"/>
      <c r="Q131" s="15"/>
      <c r="R131" s="16"/>
      <c r="S131" s="33" t="s">
        <v>141</v>
      </c>
      <c r="T131" s="9"/>
      <c r="U131" s="9"/>
      <c r="V131" s="9"/>
    </row>
    <row r="132" spans="2:22">
      <c r="B132" s="33">
        <f t="shared" si="4"/>
        <v>130</v>
      </c>
      <c r="C132" s="17"/>
      <c r="D132" s="22"/>
      <c r="E132" s="18"/>
      <c r="F132" s="23"/>
      <c r="G132" s="29"/>
      <c r="H132" s="34" t="s">
        <v>201</v>
      </c>
      <c r="I132" s="15"/>
      <c r="J132" s="15"/>
      <c r="K132" s="15"/>
      <c r="L132" s="15"/>
      <c r="M132" s="15"/>
      <c r="N132" s="15"/>
      <c r="O132" s="15"/>
      <c r="P132" s="15"/>
      <c r="Q132" s="15"/>
      <c r="R132" s="16"/>
      <c r="S132" s="33" t="s">
        <v>141</v>
      </c>
      <c r="T132" s="35" t="s">
        <v>144</v>
      </c>
      <c r="U132" s="9"/>
      <c r="V132" s="9"/>
    </row>
    <row r="133" spans="2:22">
      <c r="B133" s="33">
        <f t="shared" si="4"/>
        <v>131</v>
      </c>
      <c r="C133" s="17"/>
      <c r="D133" s="22"/>
      <c r="E133" s="18"/>
      <c r="F133" s="23"/>
      <c r="G133" s="49" t="s">
        <v>146</v>
      </c>
      <c r="H133" s="43" t="s">
        <v>200</v>
      </c>
      <c r="I133" s="26"/>
      <c r="J133" s="26"/>
      <c r="K133" s="26"/>
      <c r="L133" s="26"/>
      <c r="M133" s="26"/>
      <c r="N133" s="26"/>
      <c r="O133" s="26"/>
      <c r="P133" s="26"/>
      <c r="Q133" s="26"/>
      <c r="R133" s="27"/>
      <c r="S133" s="44" t="s">
        <v>143</v>
      </c>
      <c r="T133" s="45" t="s">
        <v>144</v>
      </c>
      <c r="U133" s="28"/>
      <c r="V133" s="28"/>
    </row>
    <row r="134" spans="2:22">
      <c r="B134" s="33">
        <f t="shared" si="4"/>
        <v>132</v>
      </c>
      <c r="C134" s="17"/>
      <c r="D134" s="22"/>
      <c r="E134" s="18"/>
      <c r="F134" s="23"/>
      <c r="G134" s="29"/>
      <c r="H134" s="26"/>
      <c r="I134" s="49" t="s">
        <v>146</v>
      </c>
      <c r="J134" s="34" t="s">
        <v>147</v>
      </c>
      <c r="K134" s="15"/>
      <c r="L134" s="15"/>
      <c r="M134" s="15"/>
      <c r="N134" s="15"/>
      <c r="O134" s="15"/>
      <c r="P134" s="15"/>
      <c r="Q134" s="15"/>
      <c r="R134" s="16"/>
      <c r="S134" s="33" t="s">
        <v>141</v>
      </c>
      <c r="T134" s="35" t="s">
        <v>144</v>
      </c>
      <c r="U134" s="9"/>
      <c r="V134" s="9"/>
    </row>
    <row r="135" spans="2:22">
      <c r="B135" s="33">
        <f t="shared" si="4"/>
        <v>133</v>
      </c>
      <c r="C135" s="17"/>
      <c r="D135" s="22"/>
      <c r="E135" s="18"/>
      <c r="F135" s="23"/>
      <c r="G135" s="29"/>
      <c r="H135" s="26"/>
      <c r="I135" s="15"/>
      <c r="J135" s="46" t="s">
        <v>70</v>
      </c>
      <c r="K135" s="30"/>
      <c r="L135" s="30"/>
      <c r="M135" s="30"/>
      <c r="N135" s="30"/>
      <c r="O135" s="30"/>
      <c r="P135" s="30"/>
      <c r="Q135" s="30"/>
      <c r="R135" s="31"/>
      <c r="S135" s="47" t="s">
        <v>143</v>
      </c>
      <c r="T135" s="48" t="s">
        <v>144</v>
      </c>
      <c r="U135" s="32"/>
      <c r="V135" s="32"/>
    </row>
    <row r="136" spans="2:22">
      <c r="B136" s="33">
        <f t="shared" si="4"/>
        <v>134</v>
      </c>
      <c r="C136" s="17"/>
      <c r="D136" s="22"/>
      <c r="E136" s="18"/>
      <c r="F136" s="23"/>
      <c r="G136" s="29"/>
      <c r="H136" s="26"/>
      <c r="I136" s="15"/>
      <c r="J136" s="30"/>
      <c r="K136" s="49" t="s">
        <v>146</v>
      </c>
      <c r="L136" s="42" t="s">
        <v>143</v>
      </c>
      <c r="M136" s="15"/>
      <c r="N136" s="15"/>
      <c r="O136" s="15"/>
      <c r="P136" s="15"/>
      <c r="Q136" s="15"/>
      <c r="R136" s="16"/>
      <c r="S136" s="33" t="s">
        <v>141</v>
      </c>
      <c r="T136" s="9"/>
      <c r="U136" s="9"/>
      <c r="V136" s="9"/>
    </row>
    <row r="137" spans="2:22">
      <c r="B137" s="33">
        <f t="shared" si="4"/>
        <v>135</v>
      </c>
      <c r="C137" s="17"/>
      <c r="D137" s="22"/>
      <c r="E137" s="18"/>
      <c r="F137" s="23"/>
      <c r="G137" s="29"/>
      <c r="H137" s="26"/>
      <c r="I137" s="15"/>
      <c r="J137" s="30"/>
      <c r="K137" s="49" t="s">
        <v>146</v>
      </c>
      <c r="L137" s="42" t="s">
        <v>143</v>
      </c>
      <c r="M137" s="15"/>
      <c r="N137" s="15"/>
      <c r="O137" s="15"/>
      <c r="P137" s="15"/>
      <c r="Q137" s="15"/>
      <c r="R137" s="16"/>
      <c r="S137" s="33" t="s">
        <v>141</v>
      </c>
      <c r="T137" s="9"/>
      <c r="U137" s="9"/>
      <c r="V137" s="9"/>
    </row>
    <row r="138" spans="2:22">
      <c r="B138" s="33">
        <f t="shared" si="4"/>
        <v>136</v>
      </c>
      <c r="C138" s="17"/>
      <c r="D138" s="22"/>
      <c r="E138" s="18"/>
      <c r="F138" s="23"/>
      <c r="G138" s="29"/>
      <c r="H138" s="26"/>
      <c r="I138" s="49" t="s">
        <v>146</v>
      </c>
      <c r="J138" s="34" t="s">
        <v>147</v>
      </c>
      <c r="K138" s="15"/>
      <c r="L138" s="15"/>
      <c r="M138" s="15"/>
      <c r="N138" s="15"/>
      <c r="O138" s="15"/>
      <c r="P138" s="15"/>
      <c r="Q138" s="15"/>
      <c r="R138" s="16"/>
      <c r="S138" s="33" t="s">
        <v>141</v>
      </c>
      <c r="T138" s="35" t="s">
        <v>144</v>
      </c>
      <c r="U138" s="9"/>
      <c r="V138" s="9"/>
    </row>
    <row r="139" spans="2:22">
      <c r="B139" s="33">
        <f t="shared" si="4"/>
        <v>137</v>
      </c>
      <c r="C139" s="17"/>
      <c r="D139" s="22"/>
      <c r="E139" s="18"/>
      <c r="F139" s="23"/>
      <c r="G139" s="29"/>
      <c r="H139" s="26"/>
      <c r="I139" s="15"/>
      <c r="J139" s="46" t="s">
        <v>70</v>
      </c>
      <c r="K139" s="30"/>
      <c r="L139" s="30"/>
      <c r="M139" s="30"/>
      <c r="N139" s="30"/>
      <c r="O139" s="30"/>
      <c r="P139" s="30"/>
      <c r="Q139" s="30"/>
      <c r="R139" s="31"/>
      <c r="S139" s="47" t="s">
        <v>143</v>
      </c>
      <c r="T139" s="48" t="s">
        <v>144</v>
      </c>
      <c r="U139" s="32"/>
      <c r="V139" s="32"/>
    </row>
    <row r="140" spans="2:22">
      <c r="B140" s="33">
        <f t="shared" si="4"/>
        <v>138</v>
      </c>
      <c r="C140" s="17"/>
      <c r="D140" s="22"/>
      <c r="E140" s="18"/>
      <c r="F140" s="23"/>
      <c r="G140" s="29"/>
      <c r="H140" s="26"/>
      <c r="I140" s="15"/>
      <c r="J140" s="30"/>
      <c r="K140" s="49" t="s">
        <v>146</v>
      </c>
      <c r="L140" s="42" t="s">
        <v>143</v>
      </c>
      <c r="M140" s="15"/>
      <c r="N140" s="15"/>
      <c r="O140" s="15"/>
      <c r="P140" s="15"/>
      <c r="Q140" s="15"/>
      <c r="R140" s="16"/>
      <c r="S140" s="33" t="s">
        <v>141</v>
      </c>
      <c r="T140" s="9"/>
      <c r="U140" s="9"/>
      <c r="V140" s="9"/>
    </row>
    <row r="141" spans="2:22">
      <c r="B141" s="33">
        <f t="shared" si="4"/>
        <v>139</v>
      </c>
      <c r="C141" s="17"/>
      <c r="D141" s="22"/>
      <c r="E141" s="18"/>
      <c r="F141" s="23"/>
      <c r="G141" s="29"/>
      <c r="H141" s="26"/>
      <c r="I141" s="15"/>
      <c r="J141" s="30"/>
      <c r="K141" s="49" t="s">
        <v>146</v>
      </c>
      <c r="L141" s="42" t="s">
        <v>143</v>
      </c>
      <c r="M141" s="15"/>
      <c r="N141" s="15"/>
      <c r="O141" s="15"/>
      <c r="P141" s="15"/>
      <c r="Q141" s="15"/>
      <c r="R141" s="16"/>
      <c r="S141" s="33" t="s">
        <v>141</v>
      </c>
      <c r="T141" s="9"/>
      <c r="U141" s="9"/>
      <c r="V141" s="9"/>
    </row>
    <row r="142" spans="2:22">
      <c r="B142" s="33">
        <f t="shared" si="4"/>
        <v>140</v>
      </c>
      <c r="C142" s="17"/>
      <c r="D142" s="22"/>
      <c r="E142" s="18"/>
      <c r="F142" s="23"/>
      <c r="G142" s="29"/>
      <c r="H142" s="34" t="s">
        <v>201</v>
      </c>
      <c r="I142" s="15"/>
      <c r="J142" s="15"/>
      <c r="K142" s="15"/>
      <c r="L142" s="15"/>
      <c r="M142" s="15"/>
      <c r="N142" s="15"/>
      <c r="O142" s="15"/>
      <c r="P142" s="15"/>
      <c r="Q142" s="15"/>
      <c r="R142" s="16"/>
      <c r="S142" s="33" t="s">
        <v>141</v>
      </c>
      <c r="T142" s="35" t="s">
        <v>144</v>
      </c>
      <c r="U142" s="9"/>
      <c r="V142" s="9"/>
    </row>
    <row r="143" spans="2:22">
      <c r="B143" s="33">
        <f t="shared" si="4"/>
        <v>141</v>
      </c>
      <c r="C143" s="17"/>
      <c r="D143" s="22"/>
      <c r="E143" s="18"/>
      <c r="F143" s="34" t="s">
        <v>155</v>
      </c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6"/>
      <c r="S143" s="33" t="s">
        <v>141</v>
      </c>
      <c r="T143" s="35" t="s">
        <v>144</v>
      </c>
      <c r="U143" s="9"/>
      <c r="V143" s="9"/>
    </row>
    <row r="144" spans="2:22">
      <c r="B144" s="33">
        <f t="shared" si="4"/>
        <v>142</v>
      </c>
      <c r="C144" s="17"/>
      <c r="D144" s="22"/>
      <c r="E144" s="18"/>
      <c r="F144" s="39" t="s">
        <v>2</v>
      </c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4"/>
      <c r="S144" s="40" t="s">
        <v>143</v>
      </c>
      <c r="T144" s="41" t="s">
        <v>144</v>
      </c>
      <c r="U144" s="25"/>
      <c r="V144" s="25"/>
    </row>
    <row r="145" spans="2:22">
      <c r="B145" s="33">
        <f t="shared" si="4"/>
        <v>143</v>
      </c>
      <c r="C145" s="17"/>
      <c r="D145" s="22"/>
      <c r="E145" s="18"/>
      <c r="F145" s="23"/>
      <c r="G145" s="49" t="s">
        <v>146</v>
      </c>
      <c r="H145" s="34" t="s">
        <v>147</v>
      </c>
      <c r="I145" s="15"/>
      <c r="J145" s="15"/>
      <c r="K145" s="15"/>
      <c r="L145" s="15"/>
      <c r="M145" s="15"/>
      <c r="N145" s="15"/>
      <c r="O145" s="15"/>
      <c r="P145" s="15"/>
      <c r="Q145" s="15"/>
      <c r="R145" s="16"/>
      <c r="S145" s="33" t="s">
        <v>141</v>
      </c>
      <c r="T145" s="35" t="s">
        <v>144</v>
      </c>
      <c r="U145" s="9"/>
      <c r="V145" s="9"/>
    </row>
    <row r="146" spans="2:22">
      <c r="B146" s="33">
        <f t="shared" si="4"/>
        <v>144</v>
      </c>
      <c r="C146" s="17"/>
      <c r="D146" s="22"/>
      <c r="E146" s="18"/>
      <c r="F146" s="23"/>
      <c r="G146" s="15"/>
      <c r="H146" s="34" t="s">
        <v>70</v>
      </c>
      <c r="I146" s="15"/>
      <c r="J146" s="15"/>
      <c r="K146" s="15"/>
      <c r="L146" s="15"/>
      <c r="M146" s="15"/>
      <c r="N146" s="15"/>
      <c r="O146" s="15"/>
      <c r="P146" s="15"/>
      <c r="Q146" s="15"/>
      <c r="R146" s="16"/>
      <c r="S146" s="33" t="s">
        <v>141</v>
      </c>
      <c r="T146" s="35" t="s">
        <v>144</v>
      </c>
      <c r="U146" s="9"/>
      <c r="V146" s="9"/>
    </row>
    <row r="147" spans="2:22" s="8" customFormat="1">
      <c r="B147" s="33">
        <f t="shared" si="4"/>
        <v>145</v>
      </c>
      <c r="C147" s="17"/>
      <c r="D147" s="22"/>
      <c r="E147" s="18"/>
      <c r="F147" s="23"/>
      <c r="G147" s="49" t="s">
        <v>146</v>
      </c>
      <c r="H147" s="34" t="s">
        <v>147</v>
      </c>
      <c r="I147" s="15"/>
      <c r="J147" s="15"/>
      <c r="K147" s="15"/>
      <c r="L147" s="15"/>
      <c r="M147" s="15"/>
      <c r="N147" s="15"/>
      <c r="O147" s="15"/>
      <c r="P147" s="15"/>
      <c r="Q147" s="15"/>
      <c r="R147" s="16"/>
      <c r="S147" s="33" t="s">
        <v>141</v>
      </c>
      <c r="T147" s="35" t="s">
        <v>144</v>
      </c>
      <c r="U147" s="9"/>
      <c r="V147" s="9"/>
    </row>
    <row r="148" spans="2:22" s="8" customFormat="1">
      <c r="B148" s="33">
        <f t="shared" si="4"/>
        <v>146</v>
      </c>
      <c r="C148" s="17"/>
      <c r="D148" s="22"/>
      <c r="E148" s="18"/>
      <c r="F148" s="23"/>
      <c r="G148" s="15"/>
      <c r="H148" s="34" t="s">
        <v>70</v>
      </c>
      <c r="I148" s="15"/>
      <c r="J148" s="15"/>
      <c r="K148" s="15"/>
      <c r="L148" s="15"/>
      <c r="M148" s="15"/>
      <c r="N148" s="15"/>
      <c r="O148" s="15"/>
      <c r="P148" s="15"/>
      <c r="Q148" s="15"/>
      <c r="R148" s="16"/>
      <c r="S148" s="33" t="s">
        <v>141</v>
      </c>
      <c r="T148" s="35" t="s">
        <v>144</v>
      </c>
      <c r="U148" s="9"/>
      <c r="V148" s="9"/>
    </row>
    <row r="149" spans="2:22">
      <c r="B149" s="33">
        <f t="shared" si="4"/>
        <v>147</v>
      </c>
      <c r="C149" s="17"/>
      <c r="D149" s="22"/>
      <c r="E149" s="18"/>
      <c r="F149" s="34" t="s">
        <v>202</v>
      </c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6"/>
      <c r="S149" s="33" t="s">
        <v>141</v>
      </c>
      <c r="T149" s="35" t="s">
        <v>144</v>
      </c>
      <c r="U149" s="9"/>
      <c r="V149" s="9" t="s">
        <v>230</v>
      </c>
    </row>
    <row r="150" spans="2:22" ht="409.5">
      <c r="B150" s="33">
        <f t="shared" si="4"/>
        <v>148</v>
      </c>
      <c r="C150" s="17"/>
      <c r="D150" s="22"/>
      <c r="E150" s="18"/>
      <c r="F150" s="34" t="s">
        <v>203</v>
      </c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6"/>
      <c r="S150" s="33" t="s">
        <v>141</v>
      </c>
      <c r="T150" s="35" t="s">
        <v>144</v>
      </c>
      <c r="U150" s="9"/>
      <c r="V150" s="51" t="s">
        <v>321</v>
      </c>
    </row>
    <row r="151" spans="2:22">
      <c r="B151" s="33">
        <f t="shared" si="4"/>
        <v>149</v>
      </c>
      <c r="C151" s="17"/>
      <c r="D151" s="22"/>
      <c r="E151" s="18"/>
      <c r="F151" s="39" t="s">
        <v>78</v>
      </c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4"/>
      <c r="S151" s="40" t="s">
        <v>143</v>
      </c>
      <c r="T151" s="41" t="s">
        <v>144</v>
      </c>
      <c r="U151" s="25"/>
      <c r="V151" s="25"/>
    </row>
    <row r="152" spans="2:22">
      <c r="B152" s="33">
        <f t="shared" si="4"/>
        <v>150</v>
      </c>
      <c r="C152" s="17"/>
      <c r="D152" s="22"/>
      <c r="E152" s="18"/>
      <c r="F152" s="23"/>
      <c r="G152" s="49" t="s">
        <v>146</v>
      </c>
      <c r="H152" s="34" t="s">
        <v>204</v>
      </c>
      <c r="I152" s="15"/>
      <c r="J152" s="15"/>
      <c r="K152" s="15"/>
      <c r="L152" s="15"/>
      <c r="M152" s="15"/>
      <c r="N152" s="15"/>
      <c r="O152" s="15"/>
      <c r="P152" s="15"/>
      <c r="Q152" s="15"/>
      <c r="R152" s="16"/>
      <c r="S152" s="33" t="s">
        <v>141</v>
      </c>
      <c r="T152" s="35" t="s">
        <v>144</v>
      </c>
      <c r="U152" s="9"/>
      <c r="V152" s="9"/>
    </row>
    <row r="153" spans="2:22">
      <c r="B153" s="33">
        <f t="shared" si="4"/>
        <v>151</v>
      </c>
      <c r="C153" s="17"/>
      <c r="D153" s="22"/>
      <c r="E153" s="18"/>
      <c r="F153" s="23"/>
      <c r="G153" s="15"/>
      <c r="H153" s="34" t="s">
        <v>205</v>
      </c>
      <c r="I153" s="15"/>
      <c r="J153" s="15"/>
      <c r="K153" s="15"/>
      <c r="L153" s="15"/>
      <c r="M153" s="15"/>
      <c r="N153" s="15"/>
      <c r="O153" s="15"/>
      <c r="P153" s="15"/>
      <c r="Q153" s="15"/>
      <c r="R153" s="16"/>
      <c r="S153" s="33" t="s">
        <v>141</v>
      </c>
      <c r="T153" s="35" t="s">
        <v>144</v>
      </c>
      <c r="U153" s="9"/>
      <c r="V153" s="9"/>
    </row>
    <row r="154" spans="2:22">
      <c r="B154" s="33">
        <f t="shared" si="4"/>
        <v>152</v>
      </c>
      <c r="C154" s="17"/>
      <c r="D154" s="22"/>
      <c r="E154" s="18"/>
      <c r="F154" s="23"/>
      <c r="G154" s="49" t="s">
        <v>146</v>
      </c>
      <c r="H154" s="34" t="s">
        <v>204</v>
      </c>
      <c r="I154" s="15"/>
      <c r="J154" s="15"/>
      <c r="K154" s="15"/>
      <c r="L154" s="15"/>
      <c r="M154" s="15"/>
      <c r="N154" s="15"/>
      <c r="O154" s="15"/>
      <c r="P154" s="15"/>
      <c r="Q154" s="15"/>
      <c r="R154" s="16"/>
      <c r="S154" s="33" t="s">
        <v>141</v>
      </c>
      <c r="T154" s="35" t="s">
        <v>144</v>
      </c>
      <c r="U154" s="9"/>
      <c r="V154" s="9"/>
    </row>
    <row r="155" spans="2:22">
      <c r="B155" s="33">
        <f t="shared" si="4"/>
        <v>153</v>
      </c>
      <c r="C155" s="17"/>
      <c r="D155" s="22"/>
      <c r="E155" s="18"/>
      <c r="F155" s="23"/>
      <c r="G155" s="15"/>
      <c r="H155" s="34" t="s">
        <v>205</v>
      </c>
      <c r="I155" s="15"/>
      <c r="J155" s="15"/>
      <c r="K155" s="15"/>
      <c r="L155" s="15"/>
      <c r="M155" s="15"/>
      <c r="N155" s="15"/>
      <c r="O155" s="15"/>
      <c r="P155" s="15"/>
      <c r="Q155" s="15"/>
      <c r="R155" s="16"/>
      <c r="S155" s="33" t="s">
        <v>141</v>
      </c>
      <c r="T155" s="35" t="s">
        <v>144</v>
      </c>
      <c r="U155" s="9"/>
      <c r="V155" s="9"/>
    </row>
  </sheetData>
  <phoneticPr fontId="1"/>
  <hyperlinks>
    <hyperlink ref="T4" r:id="rId1" tooltip="http://docs.aws.amazon.com/AWSCloudFormation/latest/UserGuide/aws-properties-ec2-instance.html" xr:uid="{A9C6603D-8B92-4A8D-B167-367D102B484F}"/>
    <hyperlink ref="T6" r:id="rId2" location="cfn-ec2-instance-additionalinfo" tooltip="http://docs.aws.amazon.com/AWSCloudFormation/latest/UserGuide/aws-properties-ec2-instance.html#cfn-ec2-instance-additionalinfo" xr:uid="{29A9D2B2-B0F1-4740-AD15-857167ABA3B6}"/>
    <hyperlink ref="T7" r:id="rId3" location="cfn-ec2-instance-affinity" tooltip="http://docs.aws.amazon.com/AWSCloudFormation/latest/UserGuide/aws-properties-ec2-instance.html#cfn-ec2-instance-affinity" xr:uid="{24CF265F-F90A-44B4-9B2C-8745EA8C68E6}"/>
    <hyperlink ref="T8" r:id="rId4" location="cfn-ec2-instance-availabilityzone" tooltip="http://docs.aws.amazon.com/AWSCloudFormation/latest/UserGuide/aws-properties-ec2-instance.html#cfn-ec2-instance-availabilityzone" xr:uid="{5F34E1A0-7B25-4E5C-845F-5610062A8F5D}"/>
    <hyperlink ref="T9" r:id="rId5" location="cfn-ec2-instance-blockdevicemappings" tooltip="http://docs.aws.amazon.com/AWSCloudFormation/latest/UserGuide/aws-properties-ec2-instance.html#cfn-ec2-instance-blockdevicemappings" xr:uid="{1ECDDEC5-1FF9-49DD-BEF9-3D68C34AD4B2}"/>
    <hyperlink ref="T10" r:id="rId6" location="cfn-ec2-blockdev-mapping-devicename" tooltip="http://docs.aws.amazon.com/AWSCloudFormation/latest/UserGuide/aws-properties-ec2-blockdev-mapping.html#cfn-ec2-blockdev-mapping-devicename" xr:uid="{71E47010-5553-4994-B8D7-1D0F7D05ACB3}"/>
    <hyperlink ref="T11" r:id="rId7" location="cfn-ec2-blockdev-mapping-ebs" tooltip="http://docs.aws.amazon.com/AWSCloudFormation/latest/UserGuide/aws-properties-ec2-blockdev-mapping.html#cfn-ec2-blockdev-mapping-ebs" xr:uid="{4CD95D8B-2EB6-42A9-9145-4076FDF63732}"/>
    <hyperlink ref="T12" r:id="rId8" location="cfn-ec2-blockdev-template-deleteontermination" tooltip="http://docs.aws.amazon.com/AWSCloudFormation/latest/UserGuide/aws-properties-ec2-blockdev-template.html#cfn-ec2-blockdev-template-deleteontermination" xr:uid="{D26104C4-36A4-456D-AA2A-B28329D0646C}"/>
    <hyperlink ref="T13" r:id="rId9" location="cfn-ec2-blockdev-template-encrypted" tooltip="http://docs.aws.amazon.com/AWSCloudFormation/latest/UserGuide/aws-properties-ec2-blockdev-template.html#cfn-ec2-blockdev-template-encrypted" xr:uid="{5F30A8DA-A33F-4ED7-9235-54DDE18E1BB1}"/>
    <hyperlink ref="T14" r:id="rId10" location="cfn-ec2-blockdev-template-iops" tooltip="http://docs.aws.amazon.com/AWSCloudFormation/latest/UserGuide/aws-properties-ec2-blockdev-template.html#cfn-ec2-blockdev-template-iops" xr:uid="{95EF9485-D44E-4E90-A72D-219F4C07DFE8}"/>
    <hyperlink ref="T15" r:id="rId11" location="cfn-ec2-instance-ebs-kmskeyid" tooltip="http://docs.aws.amazon.com/AWSCloudFormation/latest/UserGuide/aws-properties-ec2-blockdev-template.html#cfn-ec2-instance-ebs-kmskeyid" xr:uid="{0E7913A7-2797-4F9C-80CD-5C3F449A08AE}"/>
    <hyperlink ref="T16" r:id="rId12" location="cfn-ec2-blockdev-template-snapshotid" tooltip="http://docs.aws.amazon.com/AWSCloudFormation/latest/UserGuide/aws-properties-ec2-blockdev-template.html#cfn-ec2-blockdev-template-snapshotid" xr:uid="{E5044FC5-BCAC-4BF4-BD35-173ABF0EEEEB}"/>
    <hyperlink ref="T17" r:id="rId13" location="cfn-ec2-blockdev-template-volumesize" tooltip="http://docs.aws.amazon.com/AWSCloudFormation/latest/UserGuide/aws-properties-ec2-blockdev-template.html#cfn-ec2-blockdev-template-volumesize" xr:uid="{D9949D5A-6FD6-48C9-B14F-EA5F37B8AEA0}"/>
    <hyperlink ref="T18" r:id="rId14" location="cfn-ec2-blockdev-template-volumetype" tooltip="http://docs.aws.amazon.com/AWSCloudFormation/latest/UserGuide/aws-properties-ec2-blockdev-template.html#cfn-ec2-blockdev-template-volumetype" xr:uid="{D30C6011-ED15-467C-A742-EDBE2A03DF35}"/>
    <hyperlink ref="T19" r:id="rId15" location="cfn-ec2-blockdev-mapping-nodevice" tooltip="http://docs.aws.amazon.com/AWSCloudFormation/latest/UserGuide/aws-properties-ec2-blockdev-mapping.html#cfn-ec2-blockdev-mapping-nodevice" xr:uid="{D1AAC6DB-EA71-4479-A7EA-9F11C01C6560}"/>
    <hyperlink ref="T20" r:id="rId16" location="cfn-ec2-blockdev-mapping-virtualname" tooltip="http://docs.aws.amazon.com/AWSCloudFormation/latest/UserGuide/aws-properties-ec2-blockdev-mapping.html#cfn-ec2-blockdev-mapping-virtualname" xr:uid="{2B1C0D25-2530-4718-AFC6-0279B5C47E28}"/>
    <hyperlink ref="T21" r:id="rId17" location="cfn-ec2-blockdev-mapping-devicename" tooltip="http://docs.aws.amazon.com/AWSCloudFormation/latest/UserGuide/aws-properties-ec2-blockdev-mapping.html#cfn-ec2-blockdev-mapping-devicename" xr:uid="{10B61B49-1DD7-401E-AE4D-A673C86A8FCB}"/>
    <hyperlink ref="T22" r:id="rId18" location="cfn-ec2-blockdev-mapping-ebs" tooltip="http://docs.aws.amazon.com/AWSCloudFormation/latest/UserGuide/aws-properties-ec2-blockdev-mapping.html#cfn-ec2-blockdev-mapping-ebs" xr:uid="{A5F137C9-8C3D-4619-8406-80CEA6082601}"/>
    <hyperlink ref="T23" r:id="rId19" location="cfn-ec2-blockdev-template-deleteontermination" tooltip="http://docs.aws.amazon.com/AWSCloudFormation/latest/UserGuide/aws-properties-ec2-blockdev-template.html#cfn-ec2-blockdev-template-deleteontermination" xr:uid="{47D13EBA-7913-417B-88B2-ECF694675AB8}"/>
    <hyperlink ref="T24" r:id="rId20" location="cfn-ec2-blockdev-template-encrypted" tooltip="http://docs.aws.amazon.com/AWSCloudFormation/latest/UserGuide/aws-properties-ec2-blockdev-template.html#cfn-ec2-blockdev-template-encrypted" xr:uid="{7153F228-EE3D-46B3-8431-D94E0DD66BBA}"/>
    <hyperlink ref="T25" r:id="rId21" location="cfn-ec2-blockdev-template-iops" tooltip="http://docs.aws.amazon.com/AWSCloudFormation/latest/UserGuide/aws-properties-ec2-blockdev-template.html#cfn-ec2-blockdev-template-iops" xr:uid="{D3F87FA2-1B2C-42B3-AADB-26B1502D597D}"/>
    <hyperlink ref="T26" r:id="rId22" location="cfn-ec2-instance-ebs-kmskeyid" tooltip="http://docs.aws.amazon.com/AWSCloudFormation/latest/UserGuide/aws-properties-ec2-blockdev-template.html#cfn-ec2-instance-ebs-kmskeyid" xr:uid="{69155CDF-BCA5-4CF9-AF7E-C389CF533227}"/>
    <hyperlink ref="T27" r:id="rId23" location="cfn-ec2-blockdev-template-snapshotid" tooltip="http://docs.aws.amazon.com/AWSCloudFormation/latest/UserGuide/aws-properties-ec2-blockdev-template.html#cfn-ec2-blockdev-template-snapshotid" xr:uid="{CDDD567C-6CA2-41F3-B841-D48BE27E7749}"/>
    <hyperlink ref="T28" r:id="rId24" location="cfn-ec2-blockdev-template-volumesize" tooltip="http://docs.aws.amazon.com/AWSCloudFormation/latest/UserGuide/aws-properties-ec2-blockdev-template.html#cfn-ec2-blockdev-template-volumesize" xr:uid="{3204A5EB-972A-4DDA-BE1B-300DDE5C73F8}"/>
    <hyperlink ref="T29" r:id="rId25" location="cfn-ec2-blockdev-template-volumetype" tooltip="http://docs.aws.amazon.com/AWSCloudFormation/latest/UserGuide/aws-properties-ec2-blockdev-template.html#cfn-ec2-blockdev-template-volumetype" xr:uid="{D966A62D-E0DD-40C5-B2B4-5A67E2417F31}"/>
    <hyperlink ref="T30" r:id="rId26" location="cfn-ec2-blockdev-mapping-nodevice" tooltip="http://docs.aws.amazon.com/AWSCloudFormation/latest/UserGuide/aws-properties-ec2-blockdev-mapping.html#cfn-ec2-blockdev-mapping-nodevice" xr:uid="{B4D24007-DC74-4345-955C-91C156009FEB}"/>
    <hyperlink ref="T31" r:id="rId27" location="cfn-ec2-blockdev-mapping-virtualname" tooltip="http://docs.aws.amazon.com/AWSCloudFormation/latest/UserGuide/aws-properties-ec2-blockdev-mapping.html#cfn-ec2-blockdev-mapping-virtualname" xr:uid="{5B36D08B-C7D4-4072-9A5D-0F7503879521}"/>
    <hyperlink ref="T32" r:id="rId28" location="cfn-ec2-instance-cpuoptions" tooltip="http://docs.aws.amazon.com/AWSCloudFormation/latest/UserGuide/aws-properties-ec2-instance.html#cfn-ec2-instance-cpuoptions" xr:uid="{1ABEAF37-B092-48B2-A926-9BD450D43CF0}"/>
    <hyperlink ref="T33" r:id="rId29" location="cfn-ec2-instance-cpuoptions-corecount" tooltip="http://docs.aws.amazon.com/AWSCloudFormation/latest/UserGuide/aws-properties-ec2-instance-cpuoptions.html#cfn-ec2-instance-cpuoptions-corecount" xr:uid="{CB873941-24A3-49BD-A656-7CD869514538}"/>
    <hyperlink ref="T34" r:id="rId30" location="cfn-ec2-instance-cpuoptions-threadspercore" tooltip="http://docs.aws.amazon.com/AWSCloudFormation/latest/UserGuide/aws-properties-ec2-instance-cpuoptions.html#cfn-ec2-instance-cpuoptions-threadspercore" xr:uid="{0D2CD219-718C-47EB-853A-64BB4C18E5CC}"/>
    <hyperlink ref="T35" r:id="rId31" location="cfn-ec2-instance-creditspecification" tooltip="http://docs.aws.amazon.com/AWSCloudFormation/latest/UserGuide/aws-properties-ec2-instance.html#cfn-ec2-instance-creditspecification" xr:uid="{8D7CE16D-688B-4BB1-A0EF-67A0D46058AD}"/>
    <hyperlink ref="T36" r:id="rId32" location="cfn-ec2-instance-creditspecification-cpucredits" tooltip="http://docs.aws.amazon.com/AWSCloudFormation/latest/UserGuide/aws-properties-ec2-instance-creditspecification.html#cfn-ec2-instance-creditspecification-cpucredits" xr:uid="{4804F6BE-3560-4651-9FB6-644A28B4D498}"/>
    <hyperlink ref="T37" r:id="rId33" location="cfn-ec2-instance-disableapitermination" tooltip="http://docs.aws.amazon.com/AWSCloudFormation/latest/UserGuide/aws-properties-ec2-instance.html#cfn-ec2-instance-disableapitermination" xr:uid="{A6331D78-56B1-42DE-BD7C-A6D8FD4B1DB2}"/>
    <hyperlink ref="T38" r:id="rId34" location="cfn-ec2-instance-ebsoptimized" tooltip="http://docs.aws.amazon.com/AWSCloudFormation/latest/UserGuide/aws-properties-ec2-instance.html#cfn-ec2-instance-ebsoptimized" xr:uid="{9790F7FD-9209-4F12-87C3-A4C125C59DE7}"/>
    <hyperlink ref="T39" r:id="rId35" location="cfn-ec2-instance-elasticgpuspecifications" tooltip="http://docs.aws.amazon.com/AWSCloudFormation/latest/UserGuide/aws-properties-ec2-instance.html#cfn-ec2-instance-elasticgpuspecifications" xr:uid="{7E9FDB6A-FE0D-43C8-A098-A4061D5359E7}"/>
    <hyperlink ref="T40" r:id="rId36" location="cfn-ec2-instance-elasticgpuspecification-type" tooltip="http://docs.aws.amazon.com/AWSCloudFormation/latest/UserGuide/aws-properties-ec2-instance-elasticgpuspecification.html#cfn-ec2-instance-elasticgpuspecification-type" xr:uid="{A06D400D-1CCF-4EB7-B579-44F936C65130}"/>
    <hyperlink ref="T41" r:id="rId37" location="cfn-ec2-instance-elasticgpuspecification-type" tooltip="http://docs.aws.amazon.com/AWSCloudFormation/latest/UserGuide/aws-properties-ec2-instance-elasticgpuspecification.html#cfn-ec2-instance-elasticgpuspecification-type" xr:uid="{404396A0-41D8-452C-BA3A-213D5D48C6E5}"/>
    <hyperlink ref="T42" r:id="rId38" location="cfn-ec2-instance-elasticinferenceaccelerators" tooltip="http://docs.aws.amazon.com/AWSCloudFormation/latest/UserGuide/aws-properties-ec2-instance.html#cfn-ec2-instance-elasticinferenceaccelerators" xr:uid="{D6E19E85-57DF-446F-A1F0-DE3F8C948A96}"/>
    <hyperlink ref="T43" r:id="rId39" location="cfn-ec2-instance-elasticinferenceaccelerator-count" tooltip="http://docs.aws.amazon.com/AWSCloudFormation/latest/UserGuide/aws-properties-ec2-instance-elasticinferenceaccelerator.html#cfn-ec2-instance-elasticinferenceaccelerator-count" xr:uid="{264E6115-C5ED-445F-9CD5-F85F1186AAB6}"/>
    <hyperlink ref="T44" r:id="rId40" location="cfn-ec2-instance-elasticinferenceaccelerator-type" tooltip="http://docs.aws.amazon.com/AWSCloudFormation/latest/UserGuide/aws-properties-ec2-instance-elasticinferenceaccelerator.html#cfn-ec2-instance-elasticinferenceaccelerator-type" xr:uid="{CD54073A-FA67-4A40-99D7-BAF62FAF8E5F}"/>
    <hyperlink ref="T45" r:id="rId41" location="cfn-ec2-instance-elasticinferenceaccelerator-count" tooltip="http://docs.aws.amazon.com/AWSCloudFormation/latest/UserGuide/aws-properties-ec2-instance-elasticinferenceaccelerator.html#cfn-ec2-instance-elasticinferenceaccelerator-count" xr:uid="{E001ACE2-4B7B-428F-9D20-4656AC20DD90}"/>
    <hyperlink ref="T46" r:id="rId42" location="cfn-ec2-instance-elasticinferenceaccelerator-type" tooltip="http://docs.aws.amazon.com/AWSCloudFormation/latest/UserGuide/aws-properties-ec2-instance-elasticinferenceaccelerator.html#cfn-ec2-instance-elasticinferenceaccelerator-type" xr:uid="{17E8BECC-869C-43C6-8244-B2EC0098BAF3}"/>
    <hyperlink ref="T47" r:id="rId43" location="cfn-ec2-instance-enclaveoptions" tooltip="http://docs.aws.amazon.com/AWSCloudFormation/latest/UserGuide/aws-properties-ec2-instance.html#cfn-ec2-instance-enclaveoptions" xr:uid="{2C8E6F10-01C8-4223-8B4C-FC8B074BBC9B}"/>
    <hyperlink ref="T48" r:id="rId44" location="cfn-ec2-instance-enclaveoptions-enabled" tooltip="http://docs.aws.amazon.com/AWSCloudFormation/latest/UserGuide/aws-properties-ec2-instance-enclaveoptions.html#cfn-ec2-instance-enclaveoptions-enabled" xr:uid="{E76C589B-A54E-4F54-889B-6DDB78EE5219}"/>
    <hyperlink ref="T49" r:id="rId45" location="cfn-ec2-instance-hibernationoptions" tooltip="http://docs.aws.amazon.com/AWSCloudFormation/latest/UserGuide/aws-properties-ec2-instance.html#cfn-ec2-instance-hibernationoptions" xr:uid="{8F2D4777-7D77-461C-AD1D-73E4BF94E2DD}"/>
    <hyperlink ref="T50" r:id="rId46" location="cfn-ec2-instance-hibernationoptions-configured" tooltip="http://docs.aws.amazon.com/AWSCloudFormation/latest/UserGuide/aws-properties-ec2-instance-hibernationoptions.html#cfn-ec2-instance-hibernationoptions-configured" xr:uid="{AC6620E2-9E70-4BF4-ADC1-ACA007C85E0B}"/>
    <hyperlink ref="T51" r:id="rId47" location="cfn-ec2-instance-hostid" tooltip="http://docs.aws.amazon.com/AWSCloudFormation/latest/UserGuide/aws-properties-ec2-instance.html#cfn-ec2-instance-hostid" xr:uid="{AB3CF1C6-9A9E-4106-837F-BA9C2FC2C937}"/>
    <hyperlink ref="T52" r:id="rId48" location="cfn-ec2-instance-hostresourcegrouparn" tooltip="http://docs.aws.amazon.com/AWSCloudFormation/latest/UserGuide/aws-properties-ec2-instance.html#cfn-ec2-instance-hostresourcegrouparn" xr:uid="{CD117908-F37E-4D6D-BE74-5F0B3EB4FFA3}"/>
    <hyperlink ref="T53" r:id="rId49" location="cfn-ec2-instance-iaminstanceprofile" tooltip="http://docs.aws.amazon.com/AWSCloudFormation/latest/UserGuide/aws-properties-ec2-instance.html#cfn-ec2-instance-iaminstanceprofile" xr:uid="{17E2840C-251C-4D52-8E2F-7CDB8A64E571}"/>
    <hyperlink ref="T54" r:id="rId50" location="cfn-ec2-instance-imageid" tooltip="http://docs.aws.amazon.com/AWSCloudFormation/latest/UserGuide/aws-properties-ec2-instance.html#cfn-ec2-instance-imageid" xr:uid="{1663D75D-5BEA-44A4-A674-19AB6B1715BB}"/>
    <hyperlink ref="T55" r:id="rId51" location="cfn-ec2-instance-instanceinitiatedshutdownbehavior" tooltip="http://docs.aws.amazon.com/AWSCloudFormation/latest/UserGuide/aws-properties-ec2-instance.html#cfn-ec2-instance-instanceinitiatedshutdownbehavior" xr:uid="{13E5741D-27A6-4472-8629-963CDBE59E52}"/>
    <hyperlink ref="T56" r:id="rId52" location="cfn-ec2-instance-instancetype" tooltip="http://docs.aws.amazon.com/AWSCloudFormation/latest/UserGuide/aws-properties-ec2-instance.html#cfn-ec2-instance-instancetype" xr:uid="{79AFA259-2192-44FA-98EC-B130DC76EEC3}"/>
    <hyperlink ref="T57" r:id="rId53" location="cfn-ec2-instance-ipv6addresscount" tooltip="http://docs.aws.amazon.com/AWSCloudFormation/latest/UserGuide/aws-properties-ec2-instance.html#cfn-ec2-instance-ipv6addresscount" xr:uid="{11F20BAE-0158-432F-A6F5-F03CE1EEB74B}"/>
    <hyperlink ref="T58" r:id="rId54" location="cfn-ec2-instance-ipv6addresses" tooltip="http://docs.aws.amazon.com/AWSCloudFormation/latest/UserGuide/aws-properties-ec2-instance.html#cfn-ec2-instance-ipv6addresses" xr:uid="{28075AA2-4EDD-43ED-9C91-E22AEDC3D18B}"/>
    <hyperlink ref="T59" r:id="rId55" location="cfn-ec2-instance-instanceipv6address-ipv6address" tooltip="http://docs.aws.amazon.com/AWSCloudFormation/latest/UserGuide/aws-properties-ec2-instance-instanceipv6address.html#cfn-ec2-instance-instanceipv6address-ipv6address" xr:uid="{CABDF2AE-2787-42BD-95A2-9CD8D3446284}"/>
    <hyperlink ref="T60" r:id="rId56" location="cfn-ec2-instance-instanceipv6address-ipv6address" tooltip="http://docs.aws.amazon.com/AWSCloudFormation/latest/UserGuide/aws-properties-ec2-instance-instanceipv6address.html#cfn-ec2-instance-instanceipv6address-ipv6address" xr:uid="{3391EFE3-5CEC-4E87-A423-9492D3279187}"/>
    <hyperlink ref="T61" r:id="rId57" location="cfn-ec2-instance-kernelid" tooltip="http://docs.aws.amazon.com/AWSCloudFormation/latest/UserGuide/aws-properties-ec2-instance.html#cfn-ec2-instance-kernelid" xr:uid="{D1E8860C-8C9A-496C-9280-1630E20FAE73}"/>
    <hyperlink ref="T62" r:id="rId58" location="cfn-ec2-instance-keyname" tooltip="http://docs.aws.amazon.com/AWSCloudFormation/latest/UserGuide/aws-properties-ec2-instance.html#cfn-ec2-instance-keyname" xr:uid="{866221FF-ED46-48FE-8915-72BBC5628DAA}"/>
    <hyperlink ref="T63" r:id="rId59" location="cfn-ec2-instance-launchtemplate" tooltip="http://docs.aws.amazon.com/AWSCloudFormation/latest/UserGuide/aws-properties-ec2-instance.html#cfn-ec2-instance-launchtemplate" xr:uid="{6DCFAB23-66F2-4538-BEF2-62B76260A028}"/>
    <hyperlink ref="T64" r:id="rId60" location="cfn-ec2-instance-launchtemplatespecification-launchtemplateid" tooltip="http://docs.aws.amazon.com/AWSCloudFormation/latest/UserGuide/aws-properties-ec2-instance-launchtemplatespecification.html#cfn-ec2-instance-launchtemplatespecification-launchtemplateid" xr:uid="{0D89B2E1-FB9B-4D3D-AE7C-DECCF1A64082}"/>
    <hyperlink ref="T65" r:id="rId61" location="cfn-ec2-instance-launchtemplatespecification-launchtemplatename" tooltip="http://docs.aws.amazon.com/AWSCloudFormation/latest/UserGuide/aws-properties-ec2-instance-launchtemplatespecification.html#cfn-ec2-instance-launchtemplatespecification-launchtemplatename" xr:uid="{75ABC912-39D6-470E-8901-7EE5B3202978}"/>
    <hyperlink ref="T66" r:id="rId62" location="cfn-ec2-instance-launchtemplatespecification-version" tooltip="http://docs.aws.amazon.com/AWSCloudFormation/latest/UserGuide/aws-properties-ec2-instance-launchtemplatespecification.html#cfn-ec2-instance-launchtemplatespecification-version" xr:uid="{93B81082-6564-42AE-9DF9-315DBDB3873C}"/>
    <hyperlink ref="T67" r:id="rId63" location="cfn-ec2-instance-licensespecifications" tooltip="http://docs.aws.amazon.com/AWSCloudFormation/latest/UserGuide/aws-properties-ec2-instance.html#cfn-ec2-instance-licensespecifications" xr:uid="{C10A21A7-5CE1-4423-A7E3-6CD9325F3C55}"/>
    <hyperlink ref="T68" r:id="rId64" location="cfn-ec2-instance-licensespecification-licenseconfigurationarn" tooltip="http://docs.aws.amazon.com/AWSCloudFormation/latest/UserGuide/aws-properties-ec2-instance-licensespecification.html#cfn-ec2-instance-licensespecification-licenseconfigurationarn" xr:uid="{A318E3B0-F68B-4CA0-A095-20C9CD80D11F}"/>
    <hyperlink ref="T69" r:id="rId65" location="cfn-ec2-instance-licensespecification-licenseconfigurationarn" tooltip="http://docs.aws.amazon.com/AWSCloudFormation/latest/UserGuide/aws-properties-ec2-instance-licensespecification.html#cfn-ec2-instance-licensespecification-licenseconfigurationarn" xr:uid="{4669D891-6E44-4D52-B64F-9E2D9E71BC8B}"/>
    <hyperlink ref="T70" r:id="rId66" location="cfn-ec2-instance-monitoring" tooltip="http://docs.aws.amazon.com/AWSCloudFormation/latest/UserGuide/aws-properties-ec2-instance.html#cfn-ec2-instance-monitoring" xr:uid="{85D78F27-610A-41A1-B936-2092B0D49D46}"/>
    <hyperlink ref="T71" r:id="rId67" location="cfn-ec2-instance-networkinterfaces" tooltip="http://docs.aws.amazon.com/AWSCloudFormation/latest/UserGuide/aws-properties-ec2-instance.html#cfn-ec2-instance-networkinterfaces" xr:uid="{2BF6BC0E-A5BA-4CB1-B634-7EE2B23B8882}"/>
    <hyperlink ref="T72" r:id="rId68" location="aws-properties-ec2-network-iface-embedded-associatepubip" tooltip="http://docs.aws.amazon.com/AWSCloudFormation/latest/UserGuide/aws-properties-ec2-network-iface-embedded.html#aws-properties-ec2-network-iface-embedded-associatepubip" xr:uid="{1F54B336-76A1-4599-8EFC-8834BB8C2226}"/>
    <hyperlink ref="T73" r:id="rId69" location="aws-properties-ec2-network-iface-embedded-delete" tooltip="http://docs.aws.amazon.com/AWSCloudFormation/latest/UserGuide/aws-properties-ec2-network-iface-embedded.html#aws-properties-ec2-network-iface-embedded-delete" xr:uid="{55E16E06-1F48-4820-B37F-824603472781}"/>
    <hyperlink ref="T74" r:id="rId70" location="aws-properties-ec2-network-iface-embedded-description" tooltip="http://docs.aws.amazon.com/AWSCloudFormation/latest/UserGuide/aws-properties-ec2-network-iface-embedded.html#aws-properties-ec2-network-iface-embedded-description" xr:uid="{F7073B6B-32AF-4810-BA2C-547D82D90E9D}"/>
    <hyperlink ref="T75" r:id="rId71" location="aws-properties-ec2-network-iface-embedded-deviceindex" tooltip="http://docs.aws.amazon.com/AWSCloudFormation/latest/UserGuide/aws-properties-ec2-network-iface-embedded.html#aws-properties-ec2-network-iface-embedded-deviceindex" xr:uid="{9C2AD225-B224-49DB-A2DF-D8799C82F64D}"/>
    <hyperlink ref="T76" r:id="rId72" location="aws-properties-ec2-network-iface-embedded-groupset" tooltip="http://docs.aws.amazon.com/AWSCloudFormation/latest/UserGuide/aws-properties-ec2-network-iface-embedded.html#aws-properties-ec2-network-iface-embedded-groupset" xr:uid="{CFFD3B75-B9CB-4576-A199-B9E4567A34BD}"/>
    <hyperlink ref="T79" r:id="rId73" location="cfn-ec2-instance-networkinterface-ipv6addresscount" tooltip="http://docs.aws.amazon.com/AWSCloudFormation/latest/UserGuide/aws-properties-ec2-network-iface-embedded.html#cfn-ec2-instance-networkinterface-ipv6addresscount" xr:uid="{5AD325BD-A650-4C3D-A3B2-1B4BA63B14D7}"/>
    <hyperlink ref="T80" r:id="rId74" location="cfn-ec2-instance-networkinterface-ipv6addresses" tooltip="http://docs.aws.amazon.com/AWSCloudFormation/latest/UserGuide/aws-properties-ec2-network-iface-embedded.html#cfn-ec2-instance-networkinterface-ipv6addresses" xr:uid="{300B8E4C-8813-4E39-9D3F-4BF4B11B81FF}"/>
    <hyperlink ref="T81" r:id="rId75" location="cfn-ec2-instance-instanceipv6address-ipv6address" tooltip="http://docs.aws.amazon.com/AWSCloudFormation/latest/UserGuide/aws-properties-ec2-instance-instanceipv6address.html#cfn-ec2-instance-instanceipv6address-ipv6address" xr:uid="{76EA7515-BD72-4DD6-B501-FD974266F63E}"/>
    <hyperlink ref="T82" r:id="rId76" location="cfn-ec2-instance-instanceipv6address-ipv6address" tooltip="http://docs.aws.amazon.com/AWSCloudFormation/latest/UserGuide/aws-properties-ec2-instance-instanceipv6address.html#cfn-ec2-instance-instanceipv6address-ipv6address" xr:uid="{14ED74E8-EB68-413D-A0A0-130BC6C870F6}"/>
    <hyperlink ref="T83" r:id="rId77" location="aws-properties-ec2-network-iface-embedded-network-iface" tooltip="http://docs.aws.amazon.com/AWSCloudFormation/latest/UserGuide/aws-properties-ec2-network-iface-embedded.html#aws-properties-ec2-network-iface-embedded-network-iface" xr:uid="{562CCF63-FDAB-4D70-879A-AFE23CCCF942}"/>
    <hyperlink ref="T84" r:id="rId78" location="aws-properties-ec2-network-iface-embedded-privateipaddress" tooltip="http://docs.aws.amazon.com/AWSCloudFormation/latest/UserGuide/aws-properties-ec2-network-iface-embedded.html#aws-properties-ec2-network-iface-embedded-privateipaddress" xr:uid="{94520167-74A0-42EB-889E-8648ADB4D1A5}"/>
    <hyperlink ref="T85" r:id="rId79" location="aws-properties-ec2-network-iface-embedded-privateipaddresses" tooltip="http://docs.aws.amazon.com/AWSCloudFormation/latest/UserGuide/aws-properties-ec2-network-iface-embedded.html#aws-properties-ec2-network-iface-embedded-privateipaddresses" xr:uid="{FDA8A85E-8468-4CE1-9CC3-7A43402A5BAB}"/>
    <hyperlink ref="T86" r:id="rId80" location="cfn-ec2-networkinterface-privateipspecification-primary" tooltip="http://docs.aws.amazon.com/AWSCloudFormation/latest/UserGuide/aws-properties-ec2-network-interface-privateipspec.html#cfn-ec2-networkinterface-privateipspecification-primary" xr:uid="{4EB5129D-D428-450B-9B1F-A8C09B0137CC}"/>
    <hyperlink ref="T87" r:id="rId81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0A59B234-CE5C-4261-A3A9-754D72188FD5}"/>
    <hyperlink ref="T88" r:id="rId82" location="cfn-ec2-networkinterface-privateipspecification-primary" tooltip="http://docs.aws.amazon.com/AWSCloudFormation/latest/UserGuide/aws-properties-ec2-network-interface-privateipspec.html#cfn-ec2-networkinterface-privateipspecification-primary" xr:uid="{8346DA0B-02E5-479D-AE21-0733B53A5530}"/>
    <hyperlink ref="T89" r:id="rId83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00476C20-C9CC-4CFA-8131-3801194BE5EE}"/>
    <hyperlink ref="T90" r:id="rId84" location="aws-properties-ec2-network-iface-embedded-secondprivateip" tooltip="http://docs.aws.amazon.com/AWSCloudFormation/latest/UserGuide/aws-properties-ec2-network-iface-embedded.html#aws-properties-ec2-network-iface-embedded-secondprivateip" xr:uid="{23312B33-60F1-4147-974A-98C1FBAC3476}"/>
    <hyperlink ref="T91" r:id="rId85" location="aws-properties-ec2-network-iface-embedded-subnetid" tooltip="http://docs.aws.amazon.com/AWSCloudFormation/latest/UserGuide/aws-properties-ec2-network-iface-embedded.html#aws-properties-ec2-network-iface-embedded-subnetid" xr:uid="{05F74FC3-73E8-41BB-AE9E-CACA7E63B9F4}"/>
    <hyperlink ref="T92" r:id="rId86" location="aws-properties-ec2-network-iface-embedded-associatepubip" tooltip="http://docs.aws.amazon.com/AWSCloudFormation/latest/UserGuide/aws-properties-ec2-network-iface-embedded.html#aws-properties-ec2-network-iface-embedded-associatepubip" xr:uid="{F7C07AAC-AE65-4956-AF85-0BE932733481}"/>
    <hyperlink ref="T93" r:id="rId87" location="aws-properties-ec2-network-iface-embedded-delete" tooltip="http://docs.aws.amazon.com/AWSCloudFormation/latest/UserGuide/aws-properties-ec2-network-iface-embedded.html#aws-properties-ec2-network-iface-embedded-delete" xr:uid="{CCEA6681-E1D3-48DB-9D4C-359E310F89EB}"/>
    <hyperlink ref="T94" r:id="rId88" location="aws-properties-ec2-network-iface-embedded-description" tooltip="http://docs.aws.amazon.com/AWSCloudFormation/latest/UserGuide/aws-properties-ec2-network-iface-embedded.html#aws-properties-ec2-network-iface-embedded-description" xr:uid="{76F1FB63-B34D-49BF-845E-16491DD50135}"/>
    <hyperlink ref="T95" r:id="rId89" location="aws-properties-ec2-network-iface-embedded-deviceindex" tooltip="http://docs.aws.amazon.com/AWSCloudFormation/latest/UserGuide/aws-properties-ec2-network-iface-embedded.html#aws-properties-ec2-network-iface-embedded-deviceindex" xr:uid="{C616DBC3-5EEF-4815-AE51-25263798D53B}"/>
    <hyperlink ref="T96" r:id="rId90" location="aws-properties-ec2-network-iface-embedded-groupset" tooltip="http://docs.aws.amazon.com/AWSCloudFormation/latest/UserGuide/aws-properties-ec2-network-iface-embedded.html#aws-properties-ec2-network-iface-embedded-groupset" xr:uid="{197DE2AF-665A-463B-B56F-B4E70F0A0CDA}"/>
    <hyperlink ref="T99" r:id="rId91" location="cfn-ec2-instance-networkinterface-ipv6addresscount" tooltip="http://docs.aws.amazon.com/AWSCloudFormation/latest/UserGuide/aws-properties-ec2-network-iface-embedded.html#cfn-ec2-instance-networkinterface-ipv6addresscount" xr:uid="{43C04A56-0D24-4FC6-8089-02AD44EF6524}"/>
    <hyperlink ref="T100" r:id="rId92" location="cfn-ec2-instance-networkinterface-ipv6addresses" tooltip="http://docs.aws.amazon.com/AWSCloudFormation/latest/UserGuide/aws-properties-ec2-network-iface-embedded.html#cfn-ec2-instance-networkinterface-ipv6addresses" xr:uid="{6B62BFFF-FA87-4ABE-AF94-014534848222}"/>
    <hyperlink ref="T101" r:id="rId93" location="cfn-ec2-instance-instanceipv6address-ipv6address" tooltip="http://docs.aws.amazon.com/AWSCloudFormation/latest/UserGuide/aws-properties-ec2-instance-instanceipv6address.html#cfn-ec2-instance-instanceipv6address-ipv6address" xr:uid="{347888B5-F7A9-4105-B7B0-836B65FA6F63}"/>
    <hyperlink ref="T102" r:id="rId94" location="cfn-ec2-instance-instanceipv6address-ipv6address" tooltip="http://docs.aws.amazon.com/AWSCloudFormation/latest/UserGuide/aws-properties-ec2-instance-instanceipv6address.html#cfn-ec2-instance-instanceipv6address-ipv6address" xr:uid="{5D34E655-DC8D-4DC4-8EA0-86BDE7A31C54}"/>
    <hyperlink ref="T103" r:id="rId95" location="aws-properties-ec2-network-iface-embedded-network-iface" tooltip="http://docs.aws.amazon.com/AWSCloudFormation/latest/UserGuide/aws-properties-ec2-network-iface-embedded.html#aws-properties-ec2-network-iface-embedded-network-iface" xr:uid="{4CD82F63-3C54-4F28-B9F6-EC212FE97B49}"/>
    <hyperlink ref="T104" r:id="rId96" location="aws-properties-ec2-network-iface-embedded-privateipaddress" tooltip="http://docs.aws.amazon.com/AWSCloudFormation/latest/UserGuide/aws-properties-ec2-network-iface-embedded.html#aws-properties-ec2-network-iface-embedded-privateipaddress" xr:uid="{BB834ED2-C0CE-487C-BF15-BB8A7BA602CD}"/>
    <hyperlink ref="T105" r:id="rId97" location="aws-properties-ec2-network-iface-embedded-privateipaddresses" tooltip="http://docs.aws.amazon.com/AWSCloudFormation/latest/UserGuide/aws-properties-ec2-network-iface-embedded.html#aws-properties-ec2-network-iface-embedded-privateipaddresses" xr:uid="{CE525FA5-49E2-4D93-9480-F1401B308010}"/>
    <hyperlink ref="T106" r:id="rId98" location="cfn-ec2-networkinterface-privateipspecification-primary" tooltip="http://docs.aws.amazon.com/AWSCloudFormation/latest/UserGuide/aws-properties-ec2-network-interface-privateipspec.html#cfn-ec2-networkinterface-privateipspecification-primary" xr:uid="{3489C1FF-57D5-4F36-AEC8-8D7B1B2BE162}"/>
    <hyperlink ref="T107" r:id="rId99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DB812040-04D9-4F79-8952-48EEA1B7F6E2}"/>
    <hyperlink ref="T108" r:id="rId100" location="cfn-ec2-networkinterface-privateipspecification-primary" tooltip="http://docs.aws.amazon.com/AWSCloudFormation/latest/UserGuide/aws-properties-ec2-network-interface-privateipspec.html#cfn-ec2-networkinterface-privateipspecification-primary" xr:uid="{94CA00DB-18B3-4EBF-B478-03D062CC8DD9}"/>
    <hyperlink ref="T109" r:id="rId101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0E5A6D2A-41E6-44B1-8BA0-8E407750DA57}"/>
    <hyperlink ref="T110" r:id="rId102" location="aws-properties-ec2-network-iface-embedded-secondprivateip" tooltip="http://docs.aws.amazon.com/AWSCloudFormation/latest/UserGuide/aws-properties-ec2-network-iface-embedded.html#aws-properties-ec2-network-iface-embedded-secondprivateip" xr:uid="{FC949CC8-33EE-41EB-B21F-062E2CDC0E95}"/>
    <hyperlink ref="T111" r:id="rId103" location="aws-properties-ec2-network-iface-embedded-subnetid" tooltip="http://docs.aws.amazon.com/AWSCloudFormation/latest/UserGuide/aws-properties-ec2-network-iface-embedded.html#aws-properties-ec2-network-iface-embedded-subnetid" xr:uid="{6BD24E9F-1733-4AAC-8C57-166BB7CF813B}"/>
    <hyperlink ref="T112" r:id="rId104" location="cfn-ec2-instance-placementgroupname" tooltip="http://docs.aws.amazon.com/AWSCloudFormation/latest/UserGuide/aws-properties-ec2-instance.html#cfn-ec2-instance-placementgroupname" xr:uid="{09F25E28-BEC1-4CAD-A68E-ACFB000BCB5B}"/>
    <hyperlink ref="T113" r:id="rId105" location="cfn-ec2-instance-privateipaddress" tooltip="http://docs.aws.amazon.com/AWSCloudFormation/latest/UserGuide/aws-properties-ec2-instance.html#cfn-ec2-instance-privateipaddress" xr:uid="{8679F677-FC16-4573-99BA-399A1714567B}"/>
    <hyperlink ref="T114" r:id="rId106" location="cfn-ec2-instance-ramdiskid" tooltip="http://docs.aws.amazon.com/AWSCloudFormation/latest/UserGuide/aws-properties-ec2-instance.html#cfn-ec2-instance-ramdiskid" xr:uid="{FF06379F-0CD0-4938-8508-EE9CE3D4219B}"/>
    <hyperlink ref="T115" r:id="rId107" location="cfn-ec2-instance-securitygroupids" tooltip="http://docs.aws.amazon.com/AWSCloudFormation/latest/UserGuide/aws-properties-ec2-instance.html#cfn-ec2-instance-securitygroupids" xr:uid="{F498CE99-D8BA-4046-9D27-8E9D5947FBB5}"/>
    <hyperlink ref="T118" r:id="rId108" location="cfn-ec2-instance-securitygroups" tooltip="http://docs.aws.amazon.com/AWSCloudFormation/latest/UserGuide/aws-properties-ec2-instance.html#cfn-ec2-instance-securitygroups" xr:uid="{A33B1280-89B2-4A6E-A761-4F08BBA0CA42}"/>
    <hyperlink ref="T121" r:id="rId109" location="cfn-ec2-instance-sourcedestcheck" tooltip="http://docs.aws.amazon.com/AWSCloudFormation/latest/UserGuide/aws-properties-ec2-instance.html#cfn-ec2-instance-sourcedestcheck" xr:uid="{FCB3C9E3-6E4E-45B8-ACEA-3F474ADFE410}"/>
    <hyperlink ref="T122" r:id="rId110" location="cfn-ec2-instance-ssmassociations" tooltip="http://docs.aws.amazon.com/AWSCloudFormation/latest/UserGuide/aws-properties-ec2-instance.html#cfn-ec2-instance-ssmassociations" xr:uid="{8A7D3C7D-E9B2-49DD-90B0-DA8FAC26D8BF}"/>
    <hyperlink ref="T123" r:id="rId111" location="cfn-ec2-instance-ssmassociations-associationparameters" tooltip="http://docs.aws.amazon.com/AWSCloudFormation/latest/UserGuide/aws-properties-ec2-instance-ssmassociations.html#cfn-ec2-instance-ssmassociations-associationparameters" xr:uid="{88C01CB0-95EA-42F3-8832-49CD1DB2E2D3}"/>
    <hyperlink ref="T124" r:id="rId112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FB126F9E-2A64-4DF9-8D2C-3B4199696B44}"/>
    <hyperlink ref="T125" r:id="rId113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7E460FE8-7D62-40DD-9246-B79501A1A041}"/>
    <hyperlink ref="T128" r:id="rId114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16D9FA6C-BFF8-46AE-98ED-B7F4D101FFDC}"/>
    <hyperlink ref="T129" r:id="rId115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B682B915-BD84-4150-A392-A1B0DF24CB0A}"/>
    <hyperlink ref="T132" r:id="rId116" location="cfn-ec2-instance-ssmassociations-documentname" tooltip="http://docs.aws.amazon.com/AWSCloudFormation/latest/UserGuide/aws-properties-ec2-instance-ssmassociations.html#cfn-ec2-instance-ssmassociations-documentname" xr:uid="{9730A026-F986-4079-B1D0-C69033D7D881}"/>
    <hyperlink ref="T133" r:id="rId117" location="cfn-ec2-instance-ssmassociations-associationparameters" tooltip="http://docs.aws.amazon.com/AWSCloudFormation/latest/UserGuide/aws-properties-ec2-instance-ssmassociations.html#cfn-ec2-instance-ssmassociations-associationparameters" xr:uid="{3DB5AE24-8F55-4AA5-BECF-F2DE3A57B43B}"/>
    <hyperlink ref="T134" r:id="rId118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C52111AC-B02F-44C3-B9EC-4F210C5AFF5E}"/>
    <hyperlink ref="T135" r:id="rId119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18C661F0-36D7-4539-927D-AAA7481E3FAE}"/>
    <hyperlink ref="T138" r:id="rId120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D03277E5-8EFB-4305-9870-0F95C161C23B}"/>
    <hyperlink ref="T139" r:id="rId121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1E20AD97-F923-42C9-9FF1-F8B6EB60E05B}"/>
    <hyperlink ref="T142" r:id="rId122" location="cfn-ec2-instance-ssmassociations-documentname" tooltip="http://docs.aws.amazon.com/AWSCloudFormation/latest/UserGuide/aws-properties-ec2-instance-ssmassociations.html#cfn-ec2-instance-ssmassociations-documentname" xr:uid="{31EFF514-F791-4388-B18D-C819321CBEE9}"/>
    <hyperlink ref="T143" r:id="rId123" location="cfn-ec2-instance-subnetid" tooltip="http://docs.aws.amazon.com/AWSCloudFormation/latest/UserGuide/aws-properties-ec2-instance.html#cfn-ec2-instance-subnetid" xr:uid="{2A525F35-BDF3-4D5D-A12E-BAA172776449}"/>
    <hyperlink ref="T144" r:id="rId124" location="cfn-ec2-instance-tags" tooltip="http://docs.aws.amazon.com/AWSCloudFormation/latest/UserGuide/aws-properties-ec2-instance.html#cfn-ec2-instance-tags" xr:uid="{9E73C362-A97D-49D7-932F-88F7163DDC35}"/>
    <hyperlink ref="T145" r:id="rId125" location="cfn-resource-tags-key" tooltip="http://docs.aws.amazon.com/AWSCloudFormation/latest/UserGuide/aws-properties-resource-tags.html#cfn-resource-tags-key" xr:uid="{1788D995-61BD-4127-88FE-59A780E7FA8C}"/>
    <hyperlink ref="T146" r:id="rId126" location="cfn-resource-tags-value" tooltip="http://docs.aws.amazon.com/AWSCloudFormation/latest/UserGuide/aws-properties-resource-tags.html#cfn-resource-tags-value" xr:uid="{FBBF1FEA-C8F1-4DD1-83C0-84C008F9DC25}"/>
    <hyperlink ref="T149" r:id="rId127" location="cfn-ec2-instance-tenancy" tooltip="http://docs.aws.amazon.com/AWSCloudFormation/latest/UserGuide/aws-properties-ec2-instance.html#cfn-ec2-instance-tenancy" xr:uid="{D62952B8-E731-4A90-87FB-84B07A04D06E}"/>
    <hyperlink ref="T150" r:id="rId128" location="cfn-ec2-instance-userdata" tooltip="http://docs.aws.amazon.com/AWSCloudFormation/latest/UserGuide/aws-properties-ec2-instance.html#cfn-ec2-instance-userdata" xr:uid="{E0CA97FC-3B67-44B2-B033-95603C328EC8}"/>
    <hyperlink ref="T151" r:id="rId129" location="cfn-ec2-instance-volumes" tooltip="http://docs.aws.amazon.com/AWSCloudFormation/latest/UserGuide/aws-properties-ec2-instance.html#cfn-ec2-instance-volumes" xr:uid="{341AFFED-D05F-4995-B5B2-A5FC7EFA002A}"/>
    <hyperlink ref="T152" r:id="rId130" location="cfn-ec2-mountpoint-device" tooltip="http://docs.aws.amazon.com/AWSCloudFormation/latest/UserGuide/aws-properties-ec2-mount-point.html#cfn-ec2-mountpoint-device" xr:uid="{684974D4-B2BA-44AE-B237-C5FDB1CAB84E}"/>
    <hyperlink ref="T153" r:id="rId131" location="cfn-ec2-mountpoint-volumeid" tooltip="http://docs.aws.amazon.com/AWSCloudFormation/latest/UserGuide/aws-properties-ec2-mount-point.html#cfn-ec2-mountpoint-volumeid" xr:uid="{EF2566D1-2C7C-4B52-8EA2-14767C638E4B}"/>
    <hyperlink ref="T154" r:id="rId132" location="cfn-ec2-mountpoint-device" tooltip="http://docs.aws.amazon.com/AWSCloudFormation/latest/UserGuide/aws-properties-ec2-mount-point.html#cfn-ec2-mountpoint-device" xr:uid="{97C3478E-D462-4F1E-873A-5ED64C265BB2}"/>
    <hyperlink ref="T155" r:id="rId133" location="cfn-ec2-mountpoint-volumeid" tooltip="http://docs.aws.amazon.com/AWSCloudFormation/latest/UserGuide/aws-properties-ec2-mount-point.html#cfn-ec2-mountpoint-volumeid" xr:uid="{8DC028D9-BA9B-4EBB-AD3B-C6FF590B8A81}"/>
    <hyperlink ref="T147" r:id="rId134" location="cfn-resource-tags-key" tooltip="http://docs.aws.amazon.com/AWSCloudFormation/latest/UserGuide/aws-properties-resource-tags.html#cfn-resource-tags-key" xr:uid="{F7BC57A1-AB96-4329-856C-2A76FED4C73E}"/>
    <hyperlink ref="T148" r:id="rId135" location="cfn-resource-tags-value" tooltip="http://docs.aws.amazon.com/AWSCloudFormation/latest/UserGuide/aws-properties-resource-tags.html#cfn-resource-tags-value" xr:uid="{57E71FD8-C8E7-4919-96CB-D63A5946070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04EF4-1AF9-4375-B68E-7D37F788E9FD}">
  <dimension ref="A1:AB17"/>
  <sheetViews>
    <sheetView showGridLines="0" zoomScale="85" zoomScaleNormal="85" workbookViewId="0">
      <pane xSplit="21" ySplit="4" topLeftCell="AA5" activePane="bottomRight" state="frozen"/>
      <selection activeCell="Z7" sqref="Z7"/>
      <selection pane="topRight" activeCell="Z7" sqref="Z7"/>
      <selection pane="bottomLeft" activeCell="Z7" sqref="Z7"/>
      <selection pane="bottomRight" activeCell="AC1" sqref="AC1:AC1048576"/>
    </sheetView>
  </sheetViews>
  <sheetFormatPr defaultRowHeight="18.75"/>
  <cols>
    <col min="1" max="1" width="9" style="8"/>
    <col min="2" max="2" width="4.625" style="8" customWidth="1"/>
    <col min="3" max="17" width="2.875" style="8" customWidth="1"/>
    <col min="18" max="18" width="20.625" style="8" customWidth="1"/>
    <col min="19" max="19" width="8.625" style="8" customWidth="1"/>
    <col min="20" max="20" width="15.625" style="8" customWidth="1"/>
    <col min="21" max="21" width="4.625" style="8" customWidth="1"/>
    <col min="22" max="23" width="36.875" style="8" bestFit="1" customWidth="1"/>
    <col min="24" max="27" width="38.875" style="8" bestFit="1" customWidth="1"/>
    <col min="28" max="28" width="46" style="8" bestFit="1" customWidth="1"/>
    <col min="29" max="16384" width="9" style="8"/>
  </cols>
  <sheetData>
    <row r="1" spans="1:28">
      <c r="A1" s="14" t="s">
        <v>139</v>
      </c>
    </row>
    <row r="2" spans="1:28">
      <c r="B2" s="7" t="s">
        <v>148</v>
      </c>
      <c r="C2" s="7" t="s">
        <v>149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150</v>
      </c>
      <c r="T2" s="7" t="s">
        <v>151</v>
      </c>
      <c r="U2" s="7" t="s">
        <v>139</v>
      </c>
      <c r="V2" s="7" t="str">
        <f t="shared" ref="V2:AB2" si="0">"Value" &amp; COLUMN() -  21</f>
        <v>Value1</v>
      </c>
      <c r="W2" s="7" t="str">
        <f t="shared" si="0"/>
        <v>Value2</v>
      </c>
      <c r="X2" s="7" t="str">
        <f t="shared" si="0"/>
        <v>Value3</v>
      </c>
      <c r="Y2" s="7" t="str">
        <f t="shared" si="0"/>
        <v>Value4</v>
      </c>
      <c r="Z2" s="7" t="str">
        <f t="shared" si="0"/>
        <v>Value5</v>
      </c>
      <c r="AA2" s="7" t="str">
        <f t="shared" si="0"/>
        <v>Value6</v>
      </c>
      <c r="AB2" s="7" t="str">
        <f t="shared" si="0"/>
        <v>Value7</v>
      </c>
    </row>
    <row r="3" spans="1:28">
      <c r="B3" s="33">
        <f t="shared" ref="B3:B17" si="1">ROW()-2</f>
        <v>1</v>
      </c>
      <c r="C3" s="17"/>
      <c r="D3" s="34" t="s">
        <v>140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3" t="s">
        <v>141</v>
      </c>
      <c r="T3" s="9" t="s">
        <v>142</v>
      </c>
      <c r="U3" s="9"/>
      <c r="V3" s="9" t="str">
        <f>Setting!$D$10&amp;"-"&amp;RIGHT($E$4,LEN($E$4)-FIND(";",SUBSTITUTE($E$4,":",";",LEN($E$4)-LEN(SUBSTITUTE($E$4,":","")))))&amp;"-NAT"&amp;RIGHT("0"&amp;(COLUMN()-21),2)</f>
        <v>mkayano2-SecurityGroupIngress-NAT01</v>
      </c>
      <c r="W3" s="9" t="str">
        <f>Setting!$D$10&amp;"-"&amp;RIGHT($E$4,LEN($E$4)-FIND(";",SUBSTITUTE($E$4,":",";",LEN($E$4)-LEN(SUBSTITUTE($E$4,":","")))))&amp;"-NAT"&amp;RIGHT("0"&amp;(COLUMN()-21),2)</f>
        <v>mkayano2-SecurityGroupIngress-NAT02</v>
      </c>
      <c r="X3" s="9" t="str">
        <f>Setting!$D$10&amp;"-"&amp;RIGHT($E$4,LEN($E$4)-FIND(";",SUBSTITUTE($E$4,":",";",LEN($E$4)-LEN(SUBSTITUTE($E$4,":","")))))&amp;"-NAT"&amp;RIGHT("0"&amp;(COLUMN()-21),2)</f>
        <v>mkayano2-SecurityGroupIngress-NAT03</v>
      </c>
      <c r="Y3" s="9" t="str">
        <f>Setting!$D$10&amp;"-"&amp;RIGHT($E$4,LEN($E$4)-FIND(";",SUBSTITUTE($E$4,":",";",LEN($E$4)-LEN(SUBSTITUTE($E$4,":","")))))&amp;"-NAT"&amp;RIGHT("0"&amp;(COLUMN()-21),2)</f>
        <v>mkayano2-SecurityGroupIngress-NAT04</v>
      </c>
      <c r="Z3" s="9" t="str">
        <f>Setting!$D$10&amp;"-"&amp;RIGHT($E$4,LEN($E$4)-FIND(";",SUBSTITUTE($E$4,":",";",LEN($E$4)-LEN(SUBSTITUTE($E$4,":","")))))&amp;"-NAT"&amp;RIGHT("0"&amp;(COLUMN()-21),2)</f>
        <v>mkayano2-SecurityGroupIngress-NAT05</v>
      </c>
      <c r="AA3" s="9" t="str">
        <f>Setting!$D$10&amp;"-"&amp;RIGHT($E$4,LEN($E$4)-FIND(";",SUBSTITUTE($E$4,":",";",LEN($E$4)-LEN(SUBSTITUTE($E$4,":","")))))&amp;"-NAT"&amp;RIGHT("0"&amp;(COLUMN()-21),2)</f>
        <v>mkayano2-SecurityGroupIngress-NAT06</v>
      </c>
      <c r="AB3" s="9" t="str">
        <f>Setting!$D$10&amp;"-"&amp;RIGHT($E$4,LEN($E$4)-FIND(";",SUBSTITUTE($E$4,":",";",LEN($E$4)-LEN(SUBSTITUTE($E$4,":","")))))&amp;"-prometheus"&amp;RIGHT("0"&amp;(COLUMN()-27),2)</f>
        <v>mkayano2-SecurityGroupIngress-prometheus01</v>
      </c>
    </row>
    <row r="4" spans="1:28">
      <c r="B4" s="33">
        <f t="shared" si="1"/>
        <v>2</v>
      </c>
      <c r="C4" s="17"/>
      <c r="D4" s="22"/>
      <c r="E4" s="36" t="s">
        <v>266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7" t="s">
        <v>143</v>
      </c>
      <c r="T4" s="38" t="s">
        <v>144</v>
      </c>
      <c r="U4" s="21"/>
      <c r="V4" s="21"/>
      <c r="W4" s="21"/>
      <c r="X4" s="21"/>
      <c r="Y4" s="21"/>
      <c r="Z4" s="21"/>
      <c r="AA4" s="21"/>
      <c r="AB4" s="21"/>
    </row>
    <row r="5" spans="1:28">
      <c r="B5" s="33">
        <f t="shared" si="1"/>
        <v>3</v>
      </c>
      <c r="C5" s="17"/>
      <c r="D5" s="22"/>
      <c r="E5" s="36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7" t="s">
        <v>143</v>
      </c>
      <c r="T5" s="20" t="s">
        <v>143</v>
      </c>
      <c r="U5" s="21"/>
      <c r="V5" s="21"/>
      <c r="W5" s="21"/>
      <c r="X5" s="21"/>
      <c r="Y5" s="21"/>
      <c r="Z5" s="21"/>
      <c r="AA5" s="21"/>
      <c r="AB5" s="21"/>
    </row>
    <row r="6" spans="1:28">
      <c r="B6" s="33">
        <f t="shared" si="1"/>
        <v>4</v>
      </c>
      <c r="C6" s="17"/>
      <c r="D6" s="22"/>
      <c r="E6" s="18"/>
      <c r="F6" s="34" t="s">
        <v>257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3" t="s">
        <v>141</v>
      </c>
      <c r="T6" s="35" t="s">
        <v>144</v>
      </c>
      <c r="U6" s="9"/>
      <c r="V6" s="9"/>
      <c r="W6" s="9"/>
      <c r="X6" s="9" t="s">
        <v>267</v>
      </c>
      <c r="Y6" s="9" t="s">
        <v>268</v>
      </c>
      <c r="Z6" s="9" t="s">
        <v>269</v>
      </c>
      <c r="AA6" s="9" t="s">
        <v>270</v>
      </c>
      <c r="AB6" s="9"/>
    </row>
    <row r="7" spans="1:28">
      <c r="B7" s="33">
        <f t="shared" si="1"/>
        <v>5</v>
      </c>
      <c r="C7" s="17"/>
      <c r="D7" s="22"/>
      <c r="E7" s="18"/>
      <c r="F7" s="34" t="s">
        <v>259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3" t="s">
        <v>141</v>
      </c>
      <c r="T7" s="35" t="s">
        <v>144</v>
      </c>
      <c r="U7" s="9"/>
      <c r="V7" s="9"/>
      <c r="W7" s="9"/>
      <c r="X7" s="9"/>
      <c r="Y7" s="9"/>
      <c r="Z7" s="9"/>
      <c r="AA7" s="9"/>
      <c r="AB7" s="9"/>
    </row>
    <row r="8" spans="1:28">
      <c r="B8" s="33">
        <f t="shared" si="1"/>
        <v>6</v>
      </c>
      <c r="C8" s="17"/>
      <c r="D8" s="22"/>
      <c r="E8" s="18"/>
      <c r="F8" s="34" t="s">
        <v>156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3" t="s">
        <v>141</v>
      </c>
      <c r="T8" s="35" t="s">
        <v>144</v>
      </c>
      <c r="U8" s="9"/>
      <c r="V8" s="9"/>
      <c r="W8" s="9"/>
      <c r="X8" s="9"/>
      <c r="Y8" s="9"/>
      <c r="Z8" s="9"/>
      <c r="AA8" s="9"/>
      <c r="AB8" s="9"/>
    </row>
    <row r="9" spans="1:28">
      <c r="B9" s="33">
        <f t="shared" si="1"/>
        <v>7</v>
      </c>
      <c r="C9" s="17"/>
      <c r="D9" s="22"/>
      <c r="E9" s="18"/>
      <c r="F9" s="34" t="s">
        <v>262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33" t="s">
        <v>152</v>
      </c>
      <c r="T9" s="35" t="s">
        <v>144</v>
      </c>
      <c r="U9" s="9"/>
      <c r="V9" s="9">
        <v>80</v>
      </c>
      <c r="W9" s="9">
        <v>443</v>
      </c>
      <c r="X9" s="9">
        <v>22</v>
      </c>
      <c r="Y9" s="9">
        <v>22</v>
      </c>
      <c r="Z9" s="9">
        <v>22</v>
      </c>
      <c r="AA9" s="9">
        <v>22</v>
      </c>
      <c r="AB9" s="9">
        <v>22</v>
      </c>
    </row>
    <row r="10" spans="1:28">
      <c r="B10" s="33">
        <f t="shared" si="1"/>
        <v>8</v>
      </c>
      <c r="C10" s="17"/>
      <c r="D10" s="22"/>
      <c r="E10" s="18"/>
      <c r="F10" s="34" t="s">
        <v>263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3" t="s">
        <v>141</v>
      </c>
      <c r="T10" s="35" t="s">
        <v>144</v>
      </c>
      <c r="U10" s="9"/>
      <c r="V10" s="9" t="s">
        <v>305</v>
      </c>
      <c r="W10" s="9" t="s">
        <v>305</v>
      </c>
      <c r="X10" s="9" t="s">
        <v>305</v>
      </c>
      <c r="Y10" s="9" t="s">
        <v>305</v>
      </c>
      <c r="Z10" s="9" t="s">
        <v>305</v>
      </c>
      <c r="AA10" s="9" t="s">
        <v>305</v>
      </c>
      <c r="AB10" s="9" t="s">
        <v>278</v>
      </c>
    </row>
    <row r="11" spans="1:28">
      <c r="B11" s="33">
        <f t="shared" si="1"/>
        <v>9</v>
      </c>
      <c r="C11" s="17"/>
      <c r="D11" s="22"/>
      <c r="E11" s="18"/>
      <c r="F11" s="34" t="s">
        <v>271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3" t="s">
        <v>141</v>
      </c>
      <c r="T11" s="35" t="s">
        <v>144</v>
      </c>
      <c r="U11" s="9"/>
      <c r="V11" s="9"/>
      <c r="W11" s="9"/>
      <c r="X11" s="9"/>
      <c r="Y11" s="9"/>
      <c r="Z11" s="9"/>
      <c r="AA11" s="9"/>
      <c r="AB11" s="9"/>
    </row>
    <row r="12" spans="1:28">
      <c r="B12" s="33">
        <f t="shared" si="1"/>
        <v>10</v>
      </c>
      <c r="C12" s="17"/>
      <c r="D12" s="22"/>
      <c r="E12" s="18"/>
      <c r="F12" s="34" t="s">
        <v>264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3" t="s">
        <v>141</v>
      </c>
      <c r="T12" s="35" t="s">
        <v>144</v>
      </c>
      <c r="U12" s="9"/>
      <c r="V12" s="9" t="s">
        <v>272</v>
      </c>
      <c r="W12" s="9" t="s">
        <v>272</v>
      </c>
      <c r="X12" s="9" t="s">
        <v>272</v>
      </c>
      <c r="Y12" s="9" t="s">
        <v>272</v>
      </c>
      <c r="Z12" s="9" t="s">
        <v>272</v>
      </c>
      <c r="AA12" s="9" t="s">
        <v>272</v>
      </c>
      <c r="AB12" s="9" t="s">
        <v>272</v>
      </c>
    </row>
    <row r="13" spans="1:28">
      <c r="B13" s="33">
        <f t="shared" si="1"/>
        <v>11</v>
      </c>
      <c r="C13" s="17"/>
      <c r="D13" s="22"/>
      <c r="E13" s="18"/>
      <c r="F13" s="34" t="s">
        <v>273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3" t="s">
        <v>141</v>
      </c>
      <c r="T13" s="35" t="s">
        <v>144</v>
      </c>
      <c r="U13" s="9"/>
      <c r="V13" s="9"/>
      <c r="W13" s="9"/>
      <c r="X13" s="9"/>
      <c r="Y13" s="9"/>
      <c r="Z13" s="9"/>
      <c r="AA13" s="9"/>
      <c r="AB13" s="9"/>
    </row>
    <row r="14" spans="1:28">
      <c r="B14" s="33">
        <f t="shared" si="1"/>
        <v>12</v>
      </c>
      <c r="C14" s="17"/>
      <c r="D14" s="22"/>
      <c r="E14" s="18"/>
      <c r="F14" s="34" t="s">
        <v>274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3" t="s">
        <v>141</v>
      </c>
      <c r="T14" s="35" t="s">
        <v>144</v>
      </c>
      <c r="U14" s="9"/>
      <c r="V14" s="9" t="s">
        <v>278</v>
      </c>
      <c r="W14" s="9" t="s">
        <v>278</v>
      </c>
      <c r="X14" s="9"/>
      <c r="Y14" s="9"/>
      <c r="Z14" s="9"/>
      <c r="AA14" s="9"/>
      <c r="AB14" s="9" t="s">
        <v>305</v>
      </c>
    </row>
    <row r="15" spans="1:28">
      <c r="B15" s="33">
        <f t="shared" si="1"/>
        <v>13</v>
      </c>
      <c r="C15" s="17"/>
      <c r="D15" s="22"/>
      <c r="E15" s="18"/>
      <c r="F15" s="34" t="s">
        <v>275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3" t="s">
        <v>141</v>
      </c>
      <c r="T15" s="35" t="s">
        <v>144</v>
      </c>
      <c r="U15" s="9"/>
      <c r="V15" s="9"/>
      <c r="W15" s="9"/>
      <c r="X15" s="9"/>
      <c r="Y15" s="9"/>
      <c r="Z15" s="9"/>
      <c r="AA15" s="9"/>
      <c r="AB15" s="9"/>
    </row>
    <row r="16" spans="1:28">
      <c r="B16" s="33">
        <f t="shared" si="1"/>
        <v>14</v>
      </c>
      <c r="C16" s="17"/>
      <c r="D16" s="22"/>
      <c r="E16" s="18"/>
      <c r="F16" s="34" t="s">
        <v>276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33" t="s">
        <v>141</v>
      </c>
      <c r="T16" s="35" t="s">
        <v>144</v>
      </c>
      <c r="U16" s="9"/>
      <c r="V16" s="9"/>
      <c r="W16" s="9"/>
      <c r="X16" s="9"/>
      <c r="Y16" s="9"/>
      <c r="Z16" s="9"/>
      <c r="AA16" s="9"/>
      <c r="AB16" s="9"/>
    </row>
    <row r="17" spans="2:28">
      <c r="B17" s="33">
        <f t="shared" si="1"/>
        <v>15</v>
      </c>
      <c r="C17" s="17"/>
      <c r="D17" s="22"/>
      <c r="E17" s="18"/>
      <c r="F17" s="34" t="s">
        <v>265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33" t="s">
        <v>152</v>
      </c>
      <c r="T17" s="35" t="s">
        <v>144</v>
      </c>
      <c r="U17" s="9"/>
      <c r="V17" s="9">
        <v>80</v>
      </c>
      <c r="W17" s="9">
        <v>443</v>
      </c>
      <c r="X17" s="9">
        <v>22</v>
      </c>
      <c r="Y17" s="9">
        <v>22</v>
      </c>
      <c r="Z17" s="9">
        <v>22</v>
      </c>
      <c r="AA17" s="9">
        <v>22</v>
      </c>
      <c r="AB17" s="9">
        <v>22</v>
      </c>
    </row>
  </sheetData>
  <phoneticPr fontId="1"/>
  <hyperlinks>
    <hyperlink ref="T4" r:id="rId1" tooltip="http://docs.aws.amazon.com/AWSCloudFormation/latest/UserGuide/aws-properties-ec2-security-group-ingress.html" xr:uid="{366A2042-328C-4A7D-96A5-CADE131C7F95}"/>
    <hyperlink ref="T6" r:id="rId2" location="cfn-ec2-security-group-ingress-cidrip" tooltip="http://docs.aws.amazon.com/AWSCloudFormation/latest/UserGuide/aws-properties-ec2-security-group-ingress.html#cfn-ec2-security-group-ingress-cidrip" xr:uid="{C81652A7-F123-4394-8946-AF81DA9FE6EC}"/>
    <hyperlink ref="T7" r:id="rId3" location="cfn-ec2-security-group-ingress-cidripv6" tooltip="http://docs.aws.amazon.com/AWSCloudFormation/latest/UserGuide/aws-properties-ec2-security-group-ingress.html#cfn-ec2-security-group-ingress-cidripv6" xr:uid="{39E62ACE-082A-4238-894F-F16B23DC6080}"/>
    <hyperlink ref="T8" r:id="rId4" location="cfn-ec2-security-group-ingress-description" tooltip="http://docs.aws.amazon.com/AWSCloudFormation/latest/UserGuide/aws-properties-ec2-security-group-ingress.html#cfn-ec2-security-group-ingress-description" xr:uid="{A5985C0C-6509-4375-A06B-8E70C62D2BE6}"/>
    <hyperlink ref="T9" r:id="rId5" location="cfn-ec2-security-group-ingress-fromport" tooltip="http://docs.aws.amazon.com/AWSCloudFormation/latest/UserGuide/aws-properties-ec2-security-group-ingress.html#cfn-ec2-security-group-ingress-fromport" xr:uid="{67781037-9C96-4F35-BC98-C7478D51616B}"/>
    <hyperlink ref="T10" r:id="rId6" location="cfn-ec2-security-group-ingress-groupid" tooltip="http://docs.aws.amazon.com/AWSCloudFormation/latest/UserGuide/aws-properties-ec2-security-group-ingress.html#cfn-ec2-security-group-ingress-groupid" xr:uid="{FB239707-BA59-45B7-92D2-8BE327FB5BFA}"/>
    <hyperlink ref="T11" r:id="rId7" location="cfn-ec2-security-group-ingress-groupname" tooltip="http://docs.aws.amazon.com/AWSCloudFormation/latest/UserGuide/aws-properties-ec2-security-group-ingress.html#cfn-ec2-security-group-ingress-groupname" xr:uid="{8521DDBA-874D-4BDB-B457-4A37ABE06C10}"/>
    <hyperlink ref="T12" r:id="rId8" location="cfn-ec2-security-group-ingress-ipprotocol" tooltip="http://docs.aws.amazon.com/AWSCloudFormation/latest/UserGuide/aws-properties-ec2-security-group-ingress.html#cfn-ec2-security-group-ingress-ipprotocol" xr:uid="{939C1E4E-3060-4EF4-A961-D431F4AADB29}"/>
    <hyperlink ref="T13" r:id="rId9" location="cfn-ec2-securitygroupingress-sourceprefixlistid" tooltip="http://docs.aws.amazon.com/AWSCloudFormation/latest/UserGuide/aws-properties-ec2-security-group-ingress.html#cfn-ec2-securitygroupingress-sourceprefixlistid" xr:uid="{3435C8E0-659F-42B4-B45F-7E7BCEBC13B8}"/>
    <hyperlink ref="T14" r:id="rId10" location="cfn-ec2-security-group-ingress-sourcesecuritygroupid" tooltip="http://docs.aws.amazon.com/AWSCloudFormation/latest/UserGuide/aws-properties-ec2-security-group-ingress.html#cfn-ec2-security-group-ingress-sourcesecuritygroupid" xr:uid="{B59D9FC0-61E5-4029-B45E-AF247738C3C2}"/>
    <hyperlink ref="T15" r:id="rId11" location="cfn-ec2-security-group-ingress-sourcesecuritygroupname" tooltip="http://docs.aws.amazon.com/AWSCloudFormation/latest/UserGuide/aws-properties-ec2-security-group-ingress.html#cfn-ec2-security-group-ingress-sourcesecuritygroupname" xr:uid="{48E9976C-AEF1-4C3A-918F-BCDF626A49C8}"/>
    <hyperlink ref="T16" r:id="rId12" location="cfn-ec2-security-group-ingress-sourcesecuritygroupownerid" tooltip="http://docs.aws.amazon.com/AWSCloudFormation/latest/UserGuide/aws-properties-ec2-security-group-ingress.html#cfn-ec2-security-group-ingress-sourcesecuritygroupownerid" xr:uid="{5F32260F-62B0-426F-A96D-CC3EDD332FD7}"/>
    <hyperlink ref="T17" r:id="rId13" location="cfn-ec2-security-group-ingress-toport" tooltip="http://docs.aws.amazon.com/AWSCloudFormation/latest/UserGuide/aws-properties-ec2-security-group-ingress.html#cfn-ec2-security-group-ingress-toport" xr:uid="{1C2FF4A4-82DC-4229-95B5-41281FA12A6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46D87-3386-47A3-9D23-1A0BB38DC9A9}">
  <dimension ref="A1:Z14"/>
  <sheetViews>
    <sheetView showGridLines="0" workbookViewId="0">
      <pane xSplit="21" ySplit="4" topLeftCell="Y5" activePane="bottomRight" state="frozen"/>
      <selection activeCell="Z7" sqref="Z7"/>
      <selection pane="topRight" activeCell="Z7" sqref="Z7"/>
      <selection pane="bottomLeft" activeCell="Z7" sqref="Z7"/>
      <selection pane="bottomRight"/>
    </sheetView>
  </sheetViews>
  <sheetFormatPr defaultRowHeight="18.75"/>
  <cols>
    <col min="1" max="1" width="9" style="8"/>
    <col min="2" max="2" width="4.625" style="8" customWidth="1"/>
    <col min="3" max="17" width="2.875" style="8" customWidth="1"/>
    <col min="18" max="18" width="20.625" style="8" customWidth="1"/>
    <col min="19" max="19" width="8.625" style="8" customWidth="1"/>
    <col min="20" max="20" width="15.625" style="8" customWidth="1"/>
    <col min="21" max="21" width="4.625" style="8" customWidth="1"/>
    <col min="22" max="23" width="44" style="8" bestFit="1" customWidth="1"/>
    <col min="24" max="25" width="45.5" style="8" bestFit="1" customWidth="1"/>
    <col min="26" max="26" width="38.25" style="8" bestFit="1" customWidth="1"/>
    <col min="27" max="16384" width="9" style="8"/>
  </cols>
  <sheetData>
    <row r="1" spans="1:26">
      <c r="A1" s="14" t="s">
        <v>139</v>
      </c>
    </row>
    <row r="2" spans="1:26">
      <c r="B2" s="7" t="s">
        <v>148</v>
      </c>
      <c r="C2" s="7" t="s">
        <v>149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150</v>
      </c>
      <c r="T2" s="7" t="s">
        <v>151</v>
      </c>
      <c r="U2" s="7" t="s">
        <v>139</v>
      </c>
      <c r="V2" s="7" t="str">
        <f t="shared" ref="V2:Z2" si="0">"Value" &amp; COLUMN() -  21</f>
        <v>Value1</v>
      </c>
      <c r="W2" s="7" t="str">
        <f t="shared" si="0"/>
        <v>Value2</v>
      </c>
      <c r="X2" s="7" t="str">
        <f t="shared" si="0"/>
        <v>Value3</v>
      </c>
      <c r="Y2" s="7" t="str">
        <f t="shared" si="0"/>
        <v>Value4</v>
      </c>
      <c r="Z2" s="7" t="str">
        <f t="shared" si="0"/>
        <v>Value5</v>
      </c>
    </row>
    <row r="3" spans="1:26">
      <c r="B3" s="33">
        <f t="shared" ref="B3:B14" si="1">ROW()-2</f>
        <v>1</v>
      </c>
      <c r="C3" s="17"/>
      <c r="D3" s="34" t="s">
        <v>140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3" t="s">
        <v>141</v>
      </c>
      <c r="T3" s="9" t="s">
        <v>142</v>
      </c>
      <c r="U3" s="9"/>
      <c r="V3" s="9" t="str">
        <f>Setting!$D$10&amp;"-"&amp;RIGHT($E$4,LEN($E$4)-FIND(";",SUBSTITUTE($E$4,":",";",LEN($E$4)-LEN(SUBSTITUTE($E$4,":","")))))&amp;"-NAT"&amp;RIGHT("0"&amp;(COLUMN()-21),2)</f>
        <v>mkayano2-SecurityGroupEgress-NAT01</v>
      </c>
      <c r="W3" s="9" t="str">
        <f>Setting!$D$10&amp;"-"&amp;RIGHT($E$4,LEN($E$4)-FIND(";",SUBSTITUTE($E$4,":",";",LEN($E$4)-LEN(SUBSTITUTE($E$4,":","")))))&amp;"-NAT"&amp;RIGHT("0"&amp;(COLUMN()-21),2)</f>
        <v>mkayano2-SecurityGroupEgress-NAT02</v>
      </c>
      <c r="X3" s="9" t="str">
        <f>Setting!$D$10&amp;"-"&amp;RIGHT($E$4,LEN($E$4)-FIND(";",SUBSTITUTE($E$4,":",";",LEN($E$4)-LEN(SUBSTITUTE($E$4,":","")))))&amp;"-prometheus"&amp;RIGHT("0"&amp;(COLUMN()-23),2)</f>
        <v>mkayano2-SecurityGroupEgress-prometheus01</v>
      </c>
      <c r="Y3" s="9" t="str">
        <f>Setting!$D$10&amp;"-"&amp;RIGHT($E$4,LEN($E$4)-FIND(";",SUBSTITUTE($E$4,":",";",LEN($E$4)-LEN(SUBSTITUTE($E$4,":","")))))&amp;"-prometheus"&amp;RIGHT("0"&amp;(COLUMN()-23),2)</f>
        <v>mkayano2-SecurityGroupEgress-prometheus02</v>
      </c>
      <c r="Z3" s="9" t="str">
        <f>Setting!$D$10&amp;"-"&amp;RIGHT($E$4,LEN($E$4)-FIND(";",SUBSTITUTE($E$4,":",";",LEN($E$4)-LEN(SUBSTITUTE($E$4,":","")))))&amp;"-NAT"&amp;RIGHT("0"&amp;(COLUMN()-23),2)</f>
        <v>mkayano2-SecurityGroupEgress-NAT03</v>
      </c>
    </row>
    <row r="4" spans="1:26">
      <c r="B4" s="33">
        <f t="shared" si="1"/>
        <v>2</v>
      </c>
      <c r="C4" s="17"/>
      <c r="D4" s="22"/>
      <c r="E4" s="36" t="s">
        <v>256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7" t="s">
        <v>143</v>
      </c>
      <c r="T4" s="38" t="s">
        <v>144</v>
      </c>
      <c r="U4" s="21"/>
      <c r="V4" s="21"/>
      <c r="W4" s="21"/>
      <c r="X4" s="21"/>
      <c r="Y4" s="21"/>
      <c r="Z4" s="21"/>
    </row>
    <row r="5" spans="1:26">
      <c r="B5" s="33">
        <f t="shared" si="1"/>
        <v>3</v>
      </c>
      <c r="C5" s="17"/>
      <c r="D5" s="22"/>
      <c r="E5" s="36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7" t="s">
        <v>143</v>
      </c>
      <c r="T5" s="20" t="s">
        <v>143</v>
      </c>
      <c r="U5" s="21"/>
      <c r="V5" s="21"/>
      <c r="W5" s="21"/>
      <c r="X5" s="21"/>
      <c r="Y5" s="21"/>
      <c r="Z5" s="21"/>
    </row>
    <row r="6" spans="1:26">
      <c r="B6" s="33">
        <f t="shared" si="1"/>
        <v>4</v>
      </c>
      <c r="C6" s="17"/>
      <c r="D6" s="22"/>
      <c r="E6" s="18"/>
      <c r="F6" s="34" t="s">
        <v>257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3" t="s">
        <v>141</v>
      </c>
      <c r="T6" s="35" t="s">
        <v>144</v>
      </c>
      <c r="U6" s="9"/>
      <c r="V6" s="9" t="s">
        <v>258</v>
      </c>
      <c r="W6" s="9" t="s">
        <v>258</v>
      </c>
      <c r="X6" s="9"/>
      <c r="Y6" s="9"/>
      <c r="Z6" s="9"/>
    </row>
    <row r="7" spans="1:26">
      <c r="B7" s="33">
        <f t="shared" si="1"/>
        <v>5</v>
      </c>
      <c r="C7" s="17"/>
      <c r="D7" s="22"/>
      <c r="E7" s="18"/>
      <c r="F7" s="34" t="s">
        <v>259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3" t="s">
        <v>141</v>
      </c>
      <c r="T7" s="35" t="s">
        <v>144</v>
      </c>
      <c r="U7" s="9"/>
      <c r="V7" s="9"/>
      <c r="W7" s="9"/>
      <c r="X7" s="9"/>
      <c r="Y7" s="9"/>
      <c r="Z7" s="9"/>
    </row>
    <row r="8" spans="1:26">
      <c r="B8" s="33">
        <f t="shared" si="1"/>
        <v>6</v>
      </c>
      <c r="C8" s="17"/>
      <c r="D8" s="22"/>
      <c r="E8" s="18"/>
      <c r="F8" s="34" t="s">
        <v>156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3" t="s">
        <v>141</v>
      </c>
      <c r="T8" s="35" t="s">
        <v>144</v>
      </c>
      <c r="U8" s="9"/>
      <c r="V8" s="9"/>
      <c r="W8" s="9"/>
      <c r="X8" s="9"/>
      <c r="Y8" s="9"/>
      <c r="Z8" s="9"/>
    </row>
    <row r="9" spans="1:26">
      <c r="B9" s="33">
        <f t="shared" si="1"/>
        <v>7</v>
      </c>
      <c r="C9" s="17"/>
      <c r="D9" s="22"/>
      <c r="E9" s="18"/>
      <c r="F9" s="34" t="s">
        <v>260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33" t="s">
        <v>141</v>
      </c>
      <c r="T9" s="35" t="s">
        <v>144</v>
      </c>
      <c r="U9" s="9"/>
      <c r="V9" s="9"/>
      <c r="W9" s="9"/>
      <c r="X9" s="9"/>
      <c r="Y9" s="9"/>
      <c r="Z9" s="9"/>
    </row>
    <row r="10" spans="1:26">
      <c r="B10" s="33">
        <f t="shared" si="1"/>
        <v>8</v>
      </c>
      <c r="C10" s="17"/>
      <c r="D10" s="22"/>
      <c r="E10" s="18"/>
      <c r="F10" s="34" t="s">
        <v>261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3" t="s">
        <v>141</v>
      </c>
      <c r="T10" s="35" t="s">
        <v>144</v>
      </c>
      <c r="U10" s="9"/>
      <c r="V10" s="9"/>
      <c r="W10" s="9"/>
      <c r="X10" s="9" t="s">
        <v>305</v>
      </c>
      <c r="Y10" s="9" t="s">
        <v>305</v>
      </c>
      <c r="Z10" s="9" t="s">
        <v>278</v>
      </c>
    </row>
    <row r="11" spans="1:26">
      <c r="B11" s="33">
        <f t="shared" si="1"/>
        <v>9</v>
      </c>
      <c r="C11" s="17"/>
      <c r="D11" s="22"/>
      <c r="E11" s="18"/>
      <c r="F11" s="34" t="s">
        <v>262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3" t="s">
        <v>152</v>
      </c>
      <c r="T11" s="35" t="s">
        <v>144</v>
      </c>
      <c r="U11" s="9"/>
      <c r="V11" s="9">
        <v>80</v>
      </c>
      <c r="W11" s="9">
        <v>443</v>
      </c>
      <c r="X11" s="9">
        <v>80</v>
      </c>
      <c r="Y11" s="9">
        <v>443</v>
      </c>
      <c r="Z11" s="9">
        <v>22</v>
      </c>
    </row>
    <row r="12" spans="1:26">
      <c r="B12" s="33">
        <f t="shared" si="1"/>
        <v>10</v>
      </c>
      <c r="C12" s="17"/>
      <c r="D12" s="22"/>
      <c r="E12" s="18"/>
      <c r="F12" s="34" t="s">
        <v>263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3" t="s">
        <v>141</v>
      </c>
      <c r="T12" s="35" t="s">
        <v>144</v>
      </c>
      <c r="U12" s="9"/>
      <c r="V12" s="9" t="s">
        <v>305</v>
      </c>
      <c r="W12" s="9" t="s">
        <v>305</v>
      </c>
      <c r="X12" s="9" t="s">
        <v>279</v>
      </c>
      <c r="Y12" s="9" t="s">
        <v>278</v>
      </c>
      <c r="Z12" s="9" t="s">
        <v>305</v>
      </c>
    </row>
    <row r="13" spans="1:26">
      <c r="B13" s="33">
        <f t="shared" si="1"/>
        <v>11</v>
      </c>
      <c r="C13" s="17"/>
      <c r="D13" s="22"/>
      <c r="E13" s="18"/>
      <c r="F13" s="34" t="s">
        <v>264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3" t="s">
        <v>141</v>
      </c>
      <c r="T13" s="35" t="s">
        <v>144</v>
      </c>
      <c r="U13" s="9"/>
      <c r="V13" s="9" t="s">
        <v>272</v>
      </c>
      <c r="W13" s="9" t="s">
        <v>272</v>
      </c>
      <c r="X13" s="9" t="s">
        <v>272</v>
      </c>
      <c r="Y13" s="9" t="s">
        <v>272</v>
      </c>
      <c r="Z13" s="9" t="s">
        <v>272</v>
      </c>
    </row>
    <row r="14" spans="1:26">
      <c r="B14" s="33">
        <f t="shared" si="1"/>
        <v>12</v>
      </c>
      <c r="C14" s="17"/>
      <c r="D14" s="22"/>
      <c r="E14" s="18"/>
      <c r="F14" s="34" t="s">
        <v>265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3" t="s">
        <v>152</v>
      </c>
      <c r="T14" s="35" t="s">
        <v>144</v>
      </c>
      <c r="U14" s="9"/>
      <c r="V14" s="9">
        <v>80</v>
      </c>
      <c r="W14" s="9">
        <v>443</v>
      </c>
      <c r="X14" s="9">
        <v>80</v>
      </c>
      <c r="Y14" s="9">
        <v>443</v>
      </c>
      <c r="Z14" s="9">
        <v>22</v>
      </c>
    </row>
  </sheetData>
  <phoneticPr fontId="1"/>
  <hyperlinks>
    <hyperlink ref="T4" r:id="rId1" tooltip="http://docs.aws.amazon.com/AWSCloudFormation/latest/UserGuide/aws-resource-ec2-security-group-egress.html" xr:uid="{18795DFE-DD33-44A1-B931-3F7261293D88}"/>
    <hyperlink ref="T6" r:id="rId2" location="cfn-ec2-securitygroupegress-cidrip" tooltip="http://docs.aws.amazon.com/AWSCloudFormation/latest/UserGuide/aws-resource-ec2-security-group-egress.html#cfn-ec2-securitygroupegress-cidrip" xr:uid="{E32783E9-884A-42F3-9DC0-66BA2777E2C1}"/>
    <hyperlink ref="T7" r:id="rId3" location="cfn-ec2-securitygroupegress-cidripv6" tooltip="http://docs.aws.amazon.com/AWSCloudFormation/latest/UserGuide/aws-resource-ec2-security-group-egress.html#cfn-ec2-securitygroupegress-cidripv6" xr:uid="{424EF7AF-DAA5-4089-9358-608EC7AC75EE}"/>
    <hyperlink ref="T8" r:id="rId4" location="cfn-ec2-securitygroupegress-description" tooltip="http://docs.aws.amazon.com/AWSCloudFormation/latest/UserGuide/aws-resource-ec2-security-group-egress.html#cfn-ec2-securitygroupegress-description" xr:uid="{2E06A656-5DC9-4FA9-BB82-6E00492B0C32}"/>
    <hyperlink ref="T9" r:id="rId5" location="cfn-ec2-securitygroupegress-destinationprefixlistid" tooltip="http://docs.aws.amazon.com/AWSCloudFormation/latest/UserGuide/aws-resource-ec2-security-group-egress.html#cfn-ec2-securitygroupegress-destinationprefixlistid" xr:uid="{AFAAE554-8F76-4F4A-8575-961F0BD1C90F}"/>
    <hyperlink ref="T10" r:id="rId6" location="cfn-ec2-securitygroupegress-destinationsecuritygroupid" tooltip="http://docs.aws.amazon.com/AWSCloudFormation/latest/UserGuide/aws-resource-ec2-security-group-egress.html#cfn-ec2-securitygroupegress-destinationsecuritygroupid" xr:uid="{495E7868-B4BE-4D71-BCAF-CDF2D6029173}"/>
    <hyperlink ref="T11" r:id="rId7" location="cfn-ec2-securitygroupegress-fromport" tooltip="http://docs.aws.amazon.com/AWSCloudFormation/latest/UserGuide/aws-resource-ec2-security-group-egress.html#cfn-ec2-securitygroupegress-fromport" xr:uid="{EC2EBB78-3401-49E5-87FB-41F4A0FCEDBA}"/>
    <hyperlink ref="T12" r:id="rId8" location="cfn-ec2-securitygroupegress-groupid" tooltip="http://docs.aws.amazon.com/AWSCloudFormation/latest/UserGuide/aws-resource-ec2-security-group-egress.html#cfn-ec2-securitygroupegress-groupid" xr:uid="{6B645337-488A-409B-B079-4921C74B4432}"/>
    <hyperlink ref="T13" r:id="rId9" location="cfn-ec2-securitygroupegress-ipprotocol" tooltip="http://docs.aws.amazon.com/AWSCloudFormation/latest/UserGuide/aws-resource-ec2-security-group-egress.html#cfn-ec2-securitygroupegress-ipprotocol" xr:uid="{A5E319C2-D890-43D1-BD26-B639B797F925}"/>
    <hyperlink ref="T14" r:id="rId10" location="cfn-ec2-securitygroupegress-toport" tooltip="http://docs.aws.amazon.com/AWSCloudFormation/latest/UserGuide/aws-resource-ec2-security-group-egress.html#cfn-ec2-securitygroupegress-toport" xr:uid="{3D20D3D2-B1E0-4346-9498-EC252606937D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4ED75-7202-43A4-ACCD-227E3930B098}">
  <dimension ref="A1:X18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8" sqref="V38"/>
    </sheetView>
  </sheetViews>
  <sheetFormatPr defaultRowHeight="18.75"/>
  <cols>
    <col min="1" max="1" width="9" style="8"/>
    <col min="2" max="2" width="4.625" style="8" customWidth="1"/>
    <col min="3" max="17" width="2.875" style="8" customWidth="1"/>
    <col min="18" max="18" width="20.625" style="8" customWidth="1"/>
    <col min="19" max="19" width="8.625" style="8" customWidth="1"/>
    <col min="20" max="20" width="15.625" style="8" customWidth="1"/>
    <col min="21" max="21" width="4.625" style="8" customWidth="1"/>
    <col min="22" max="24" width="31.625" style="8" bestFit="1" customWidth="1"/>
    <col min="25" max="16384" width="9" style="8"/>
  </cols>
  <sheetData>
    <row r="1" spans="1:24">
      <c r="A1" s="14" t="s">
        <v>139</v>
      </c>
    </row>
    <row r="2" spans="1:24">
      <c r="B2" s="7" t="s">
        <v>148</v>
      </c>
      <c r="C2" s="7" t="s">
        <v>149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150</v>
      </c>
      <c r="T2" s="7" t="s">
        <v>151</v>
      </c>
      <c r="U2" s="7" t="s">
        <v>139</v>
      </c>
      <c r="V2" s="7" t="str">
        <f>"Value" &amp; COLUMN() -  21</f>
        <v>Value1</v>
      </c>
      <c r="W2" s="7" t="str">
        <f>"Value" &amp; COLUMN() -  21</f>
        <v>Value2</v>
      </c>
      <c r="X2" s="7" t="str">
        <f>"Value" &amp; COLUMN() -  21</f>
        <v>Value3</v>
      </c>
    </row>
    <row r="3" spans="1:24">
      <c r="B3" s="33">
        <f t="shared" ref="B3:B18" si="0">ROW()-2</f>
        <v>1</v>
      </c>
      <c r="C3" s="17"/>
      <c r="D3" s="34" t="s">
        <v>140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3" t="s">
        <v>141</v>
      </c>
      <c r="T3" s="9" t="s">
        <v>142</v>
      </c>
      <c r="U3" s="9"/>
      <c r="V3" s="9" t="s">
        <v>301</v>
      </c>
      <c r="W3" s="9" t="s">
        <v>302</v>
      </c>
      <c r="X3" s="9" t="s">
        <v>303</v>
      </c>
    </row>
    <row r="4" spans="1:24">
      <c r="B4" s="33">
        <f t="shared" si="0"/>
        <v>2</v>
      </c>
      <c r="C4" s="17"/>
      <c r="D4" s="22"/>
      <c r="E4" s="36" t="s">
        <v>285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7" t="s">
        <v>143</v>
      </c>
      <c r="T4" s="38" t="s">
        <v>144</v>
      </c>
      <c r="U4" s="21"/>
      <c r="V4" s="21"/>
      <c r="W4" s="21"/>
      <c r="X4" s="21"/>
    </row>
    <row r="5" spans="1:24">
      <c r="B5" s="33">
        <f t="shared" si="0"/>
        <v>3</v>
      </c>
      <c r="C5" s="17"/>
      <c r="D5" s="22"/>
      <c r="E5" s="36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7" t="s">
        <v>143</v>
      </c>
      <c r="T5" s="20" t="s">
        <v>143</v>
      </c>
      <c r="U5" s="21"/>
      <c r="V5" s="21"/>
      <c r="W5" s="21"/>
      <c r="X5" s="21"/>
    </row>
    <row r="6" spans="1:24">
      <c r="B6" s="33">
        <f t="shared" si="0"/>
        <v>4</v>
      </c>
      <c r="C6" s="17"/>
      <c r="D6" s="22"/>
      <c r="E6" s="18"/>
      <c r="F6" s="34" t="s">
        <v>286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3" t="s">
        <v>141</v>
      </c>
      <c r="T6" s="35" t="s">
        <v>144</v>
      </c>
      <c r="U6" s="9"/>
      <c r="V6" s="9"/>
      <c r="W6" s="9"/>
      <c r="X6" s="9"/>
    </row>
    <row r="7" spans="1:24">
      <c r="B7" s="33">
        <f t="shared" si="0"/>
        <v>5</v>
      </c>
      <c r="C7" s="17"/>
      <c r="D7" s="22"/>
      <c r="E7" s="18"/>
      <c r="F7" s="34" t="s">
        <v>287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3" t="s">
        <v>141</v>
      </c>
      <c r="T7" s="35" t="s">
        <v>144</v>
      </c>
      <c r="U7" s="9"/>
      <c r="V7" s="9" t="s">
        <v>277</v>
      </c>
      <c r="W7" s="9" t="s">
        <v>277</v>
      </c>
      <c r="X7" s="9" t="s">
        <v>277</v>
      </c>
    </row>
    <row r="8" spans="1:24">
      <c r="B8" s="33">
        <f t="shared" si="0"/>
        <v>6</v>
      </c>
      <c r="C8" s="17"/>
      <c r="D8" s="22"/>
      <c r="E8" s="18"/>
      <c r="F8" s="34" t="s">
        <v>288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3" t="s">
        <v>141</v>
      </c>
      <c r="T8" s="35" t="s">
        <v>144</v>
      </c>
      <c r="U8" s="9"/>
      <c r="V8" s="9"/>
      <c r="W8" s="9"/>
      <c r="X8" s="9"/>
    </row>
    <row r="9" spans="1:24">
      <c r="B9" s="33">
        <f t="shared" si="0"/>
        <v>7</v>
      </c>
      <c r="C9" s="17"/>
      <c r="D9" s="22"/>
      <c r="E9" s="18"/>
      <c r="F9" s="34" t="s">
        <v>289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33" t="s">
        <v>141</v>
      </c>
      <c r="T9" s="35" t="s">
        <v>144</v>
      </c>
      <c r="U9" s="9"/>
      <c r="V9" s="9"/>
      <c r="W9" s="9"/>
      <c r="X9" s="9"/>
    </row>
    <row r="10" spans="1:24">
      <c r="B10" s="33">
        <f t="shared" si="0"/>
        <v>8</v>
      </c>
      <c r="C10" s="17"/>
      <c r="D10" s="22"/>
      <c r="E10" s="18"/>
      <c r="F10" s="34" t="s">
        <v>290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3" t="s">
        <v>141</v>
      </c>
      <c r="T10" s="35" t="s">
        <v>144</v>
      </c>
      <c r="U10" s="9"/>
      <c r="V10" s="9"/>
      <c r="W10" s="9"/>
      <c r="X10" s="9"/>
    </row>
    <row r="11" spans="1:24">
      <c r="B11" s="33">
        <f t="shared" si="0"/>
        <v>9</v>
      </c>
      <c r="C11" s="17"/>
      <c r="D11" s="22"/>
      <c r="E11" s="18"/>
      <c r="F11" s="34" t="s">
        <v>291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3" t="s">
        <v>141</v>
      </c>
      <c r="T11" s="35" t="s">
        <v>144</v>
      </c>
      <c r="U11" s="9"/>
      <c r="V11" s="9" t="str">
        <f>Setting!$D$10&amp;"-"&amp;"ec2-nat-basion"</f>
        <v>mkayano2-ec2-nat-basion</v>
      </c>
      <c r="W11" s="9" t="str">
        <f>Setting!$D$10&amp;"-"&amp;"ec2-nat-basion"</f>
        <v>mkayano2-ec2-nat-basion</v>
      </c>
      <c r="X11" s="9" t="str">
        <f>Setting!$D$10&amp;"-"&amp;"ec2-nat-basion"</f>
        <v>mkayano2-ec2-nat-basion</v>
      </c>
    </row>
    <row r="12" spans="1:24">
      <c r="B12" s="33">
        <f t="shared" si="0"/>
        <v>10</v>
      </c>
      <c r="C12" s="17"/>
      <c r="D12" s="22"/>
      <c r="E12" s="18"/>
      <c r="F12" s="34" t="s">
        <v>292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3" t="s">
        <v>141</v>
      </c>
      <c r="T12" s="35" t="s">
        <v>144</v>
      </c>
      <c r="U12" s="9"/>
      <c r="V12" s="9"/>
      <c r="W12" s="9"/>
      <c r="X12" s="9"/>
    </row>
    <row r="13" spans="1:24">
      <c r="B13" s="33">
        <f t="shared" si="0"/>
        <v>11</v>
      </c>
      <c r="C13" s="17"/>
      <c r="D13" s="22"/>
      <c r="E13" s="18"/>
      <c r="F13" s="34" t="s">
        <v>293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3" t="s">
        <v>141</v>
      </c>
      <c r="T13" s="35" t="s">
        <v>144</v>
      </c>
      <c r="U13" s="9"/>
      <c r="V13" s="9"/>
      <c r="W13" s="9"/>
      <c r="X13" s="9"/>
    </row>
    <row r="14" spans="1:24">
      <c r="B14" s="33">
        <f t="shared" si="0"/>
        <v>12</v>
      </c>
      <c r="C14" s="17"/>
      <c r="D14" s="22"/>
      <c r="E14" s="18"/>
      <c r="F14" s="34" t="s">
        <v>154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3" t="s">
        <v>141</v>
      </c>
      <c r="T14" s="35" t="s">
        <v>144</v>
      </c>
      <c r="U14" s="9"/>
      <c r="V14" s="9"/>
      <c r="W14" s="9"/>
      <c r="X14" s="9"/>
    </row>
    <row r="15" spans="1:24">
      <c r="B15" s="33">
        <f t="shared" si="0"/>
        <v>13</v>
      </c>
      <c r="C15" s="17"/>
      <c r="D15" s="22"/>
      <c r="E15" s="18"/>
      <c r="F15" s="34" t="s">
        <v>294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3" t="s">
        <v>141</v>
      </c>
      <c r="T15" s="35" t="s">
        <v>144</v>
      </c>
      <c r="U15" s="9"/>
      <c r="V15" s="9" t="s">
        <v>298</v>
      </c>
      <c r="W15" s="9" t="s">
        <v>299</v>
      </c>
      <c r="X15" s="9" t="s">
        <v>300</v>
      </c>
    </row>
    <row r="16" spans="1:24">
      <c r="B16" s="33">
        <f t="shared" si="0"/>
        <v>14</v>
      </c>
      <c r="C16" s="17"/>
      <c r="D16" s="22"/>
      <c r="E16" s="18"/>
      <c r="F16" s="34" t="s">
        <v>295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33" t="s">
        <v>141</v>
      </c>
      <c r="T16" s="35" t="s">
        <v>144</v>
      </c>
      <c r="U16" s="9"/>
      <c r="V16" s="9"/>
      <c r="W16" s="9"/>
      <c r="X16" s="9"/>
    </row>
    <row r="17" spans="2:24">
      <c r="B17" s="33">
        <f t="shared" si="0"/>
        <v>15</v>
      </c>
      <c r="C17" s="17"/>
      <c r="D17" s="22"/>
      <c r="E17" s="18"/>
      <c r="F17" s="34" t="s">
        <v>296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33" t="s">
        <v>141</v>
      </c>
      <c r="T17" s="35" t="s">
        <v>144</v>
      </c>
      <c r="U17" s="9"/>
      <c r="V17" s="9"/>
      <c r="W17" s="9"/>
      <c r="X17" s="9"/>
    </row>
    <row r="18" spans="2:24">
      <c r="B18" s="33">
        <f t="shared" si="0"/>
        <v>16</v>
      </c>
      <c r="C18" s="17"/>
      <c r="D18" s="22"/>
      <c r="E18" s="18"/>
      <c r="F18" s="34" t="s">
        <v>297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33" t="s">
        <v>141</v>
      </c>
      <c r="T18" s="35" t="s">
        <v>144</v>
      </c>
      <c r="U18" s="9"/>
      <c r="V18" s="9"/>
      <c r="W18" s="9"/>
      <c r="X18" s="9"/>
    </row>
  </sheetData>
  <phoneticPr fontId="1"/>
  <hyperlinks>
    <hyperlink ref="T4" r:id="rId1" tooltip="http://docs.aws.amazon.com/AWSCloudFormation/latest/UserGuide/aws-resource-ec2-route.html" xr:uid="{3F4C6FB7-C9FF-403D-BBDF-821276462724}"/>
    <hyperlink ref="T6" r:id="rId2" location="cfn-ec2-route-carriergatewayid" tooltip="http://docs.aws.amazon.com/AWSCloudFormation/latest/UserGuide/aws-resource-ec2-route.html#cfn-ec2-route-carriergatewayid" xr:uid="{778F80F4-064B-4A90-87DB-E2F55FE5DFF7}"/>
    <hyperlink ref="T7" r:id="rId3" location="cfn-ec2-route-destinationcidrblock" tooltip="http://docs.aws.amazon.com/AWSCloudFormation/latest/UserGuide/aws-resource-ec2-route.html#cfn-ec2-route-destinationcidrblock" xr:uid="{5C1CC580-0917-429C-8A8B-728A0CFB530E}"/>
    <hyperlink ref="T8" r:id="rId4" location="cfn-ec2-route-destinationipv6cidrblock" tooltip="http://docs.aws.amazon.com/AWSCloudFormation/latest/UserGuide/aws-resource-ec2-route.html#cfn-ec2-route-destinationipv6cidrblock" xr:uid="{DE845300-B2E5-4235-BDBE-D20FEFAEBC83}"/>
    <hyperlink ref="T9" r:id="rId5" location="cfn-ec2-route-egressonlyinternetgatewayid" tooltip="http://docs.aws.amazon.com/AWSCloudFormation/latest/UserGuide/aws-resource-ec2-route.html#cfn-ec2-route-egressonlyinternetgatewayid" xr:uid="{76459734-5328-4D5B-956F-7A4B510234D8}"/>
    <hyperlink ref="T10" r:id="rId6" location="cfn-ec2-route-gatewayid" tooltip="http://docs.aws.amazon.com/AWSCloudFormation/latest/UserGuide/aws-resource-ec2-route.html#cfn-ec2-route-gatewayid" xr:uid="{28FF0052-5839-4697-A725-9503F3B502F9}"/>
    <hyperlink ref="T11" r:id="rId7" location="cfn-ec2-route-instanceid" tooltip="http://docs.aws.amazon.com/AWSCloudFormation/latest/UserGuide/aws-resource-ec2-route.html#cfn-ec2-route-instanceid" xr:uid="{8DD00116-8FD0-4C8A-BF95-1DF43CCF0D90}"/>
    <hyperlink ref="T12" r:id="rId8" location="cfn-ec2-route-localgatewayid" tooltip="http://docs.aws.amazon.com/AWSCloudFormation/latest/UserGuide/aws-resource-ec2-route.html#cfn-ec2-route-localgatewayid" xr:uid="{8C86BEB9-6696-46A7-8F77-FA1E49CDC775}"/>
    <hyperlink ref="T13" r:id="rId9" location="cfn-ec2-route-natgatewayid" tooltip="http://docs.aws.amazon.com/AWSCloudFormation/latest/UserGuide/aws-resource-ec2-route.html#cfn-ec2-route-natgatewayid" xr:uid="{2B9FD60F-024F-465F-A704-EFCD2B6E196E}"/>
    <hyperlink ref="T14" r:id="rId10" location="cfn-ec2-route-networkinterfaceid" tooltip="http://docs.aws.amazon.com/AWSCloudFormation/latest/UserGuide/aws-resource-ec2-route.html#cfn-ec2-route-networkinterfaceid" xr:uid="{5905EABF-8F51-4020-9DC4-1D136C3EBC25}"/>
    <hyperlink ref="T15" r:id="rId11" location="cfn-ec2-route-routetableid" tooltip="http://docs.aws.amazon.com/AWSCloudFormation/latest/UserGuide/aws-resource-ec2-route.html#cfn-ec2-route-routetableid" xr:uid="{E412735A-EDE6-49AC-B918-86BAFCFE4440}"/>
    <hyperlink ref="T16" r:id="rId12" location="cfn-ec2-route-transitgatewayid" tooltip="http://docs.aws.amazon.com/AWSCloudFormation/latest/UserGuide/aws-resource-ec2-route.html#cfn-ec2-route-transitgatewayid" xr:uid="{57D03F51-E0B0-4AC6-9B92-1E9237D0E0CF}"/>
    <hyperlink ref="T17" r:id="rId13" location="cfn-ec2-route-vpcendpointid" tooltip="http://docs.aws.amazon.com/AWSCloudFormation/latest/UserGuide/aws-resource-ec2-route.html#cfn-ec2-route-vpcendpointid" xr:uid="{2E3A6D36-B40B-4CF9-B68C-EFA211EAA92A}"/>
    <hyperlink ref="T18" r:id="rId14" location="cfn-ec2-route-vpcpeeringconnectionid" tooltip="http://docs.aws.amazon.com/AWSCloudFormation/latest/UserGuide/aws-resource-ec2-route.html#cfn-ec2-route-vpcpeeringconnectionid" xr:uid="{6EC6771A-4F0B-4A85-9EF2-796CCCA6141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Resources</vt:lpstr>
      <vt:lpstr>Setting</vt:lpstr>
      <vt:lpstr>ExternalValue</vt:lpstr>
      <vt:lpstr>CreatingResource</vt:lpstr>
      <vt:lpstr>Instance</vt:lpstr>
      <vt:lpstr>SecurityGroupIngress</vt:lpstr>
      <vt:lpstr>SecurityGroupEgress</vt:lpstr>
      <vt:lpstr>Route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2021-10-25T04:25:29Z</dcterms:modified>
</cp:coreProperties>
</file>