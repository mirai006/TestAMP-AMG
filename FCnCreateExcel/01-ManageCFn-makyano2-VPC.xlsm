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ayano2\Box\mkayano2\10業務\20211024Grafana-mkayano\"/>
    </mc:Choice>
  </mc:AlternateContent>
  <xr:revisionPtr revIDLastSave="0" documentId="13_ncr:1_{D0C146CD-3E2D-4A7A-8671-97D17E85A55F}" xr6:coauthVersionLast="47" xr6:coauthVersionMax="47" xr10:uidLastSave="{00000000-0000-0000-0000-000000000000}"/>
  <bookViews>
    <workbookView xWindow="28680" yWindow="-19500" windowWidth="57840" windowHeight="32040" tabRatio="733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VPC" sheetId="1170" r:id="rId5"/>
    <sheet name="InternetGateway" sheetId="1171" r:id="rId6"/>
    <sheet name="VPCGatewayAttachment" sheetId="1172" r:id="rId7"/>
    <sheet name="DHCPOptions" sheetId="1173" r:id="rId8"/>
    <sheet name="VPCDHCPOptionsAssociation" sheetId="1174" r:id="rId9"/>
    <sheet name="Subnet" sheetId="1175" r:id="rId10"/>
    <sheet name="RouteTable" sheetId="1176" r:id="rId11"/>
    <sheet name="Route" sheetId="1177" r:id="rId12"/>
    <sheet name="SubnetRouteTableAssociation" sheetId="1178" r:id="rId13"/>
    <sheet name="NetworkAcl" sheetId="1179" r:id="rId14"/>
    <sheet name="NetworkAclEntry" sheetId="1180" r:id="rId15"/>
    <sheet name="SubnetNetworkAclAssociation" sheetId="1181" r:id="rId16"/>
    <sheet name="SecurityGroup" sheetId="118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" i="1182" l="1"/>
  <c r="V7" i="1182" s="1"/>
  <c r="X3" i="1182"/>
  <c r="X7" i="1182" s="1"/>
  <c r="W3" i="1182"/>
  <c r="W7" i="1182" s="1"/>
  <c r="V3" i="1181"/>
  <c r="V2" i="1182"/>
  <c r="W2" i="1182"/>
  <c r="X2" i="1182"/>
  <c r="B3" i="1182"/>
  <c r="B4" i="1182"/>
  <c r="B5" i="1182"/>
  <c r="B6" i="1182"/>
  <c r="B7" i="1182"/>
  <c r="B8" i="1182"/>
  <c r="B9" i="1182"/>
  <c r="B10" i="1182"/>
  <c r="B11" i="1182"/>
  <c r="B12" i="1182"/>
  <c r="B13" i="1182"/>
  <c r="B14" i="1182"/>
  <c r="B15" i="1182"/>
  <c r="B16" i="1182"/>
  <c r="B17" i="1182"/>
  <c r="B18" i="1182"/>
  <c r="B19" i="1182"/>
  <c r="B20" i="1182"/>
  <c r="B21" i="1182"/>
  <c r="B22" i="1182"/>
  <c r="B23" i="1182"/>
  <c r="B24" i="1182"/>
  <c r="B25" i="1182"/>
  <c r="B26" i="1182"/>
  <c r="B27" i="1182"/>
  <c r="B28" i="1182"/>
  <c r="B29" i="1182"/>
  <c r="B30" i="1182"/>
  <c r="B31" i="1182"/>
  <c r="B32" i="1182"/>
  <c r="B33" i="1182"/>
  <c r="B34" i="1182"/>
  <c r="B35" i="1182"/>
  <c r="B36" i="1182"/>
  <c r="B37" i="1182"/>
  <c r="B38" i="1182"/>
  <c r="B39" i="1182"/>
  <c r="B40" i="1182"/>
  <c r="B41" i="1182"/>
  <c r="B42" i="1182"/>
  <c r="B43" i="1182"/>
  <c r="B44" i="1182"/>
  <c r="B45" i="1182"/>
  <c r="B46" i="1182"/>
  <c r="B47" i="1182"/>
  <c r="B48" i="1182"/>
  <c r="B49" i="1182"/>
  <c r="B50" i="1182"/>
  <c r="B51" i="1182"/>
  <c r="AA3" i="1181"/>
  <c r="Z3" i="1181"/>
  <c r="Y3" i="1181"/>
  <c r="X3" i="1181"/>
  <c r="W3" i="1181"/>
  <c r="AA2" i="1181"/>
  <c r="Z2" i="1181"/>
  <c r="Y2" i="1181"/>
  <c r="X2" i="1181"/>
  <c r="W2" i="1181"/>
  <c r="W2" i="1180"/>
  <c r="W3" i="1180"/>
  <c r="V3" i="1180"/>
  <c r="V3" i="1179"/>
  <c r="AA6" i="1181" s="1"/>
  <c r="AA3" i="1178"/>
  <c r="Z3" i="1178"/>
  <c r="AA2" i="1178"/>
  <c r="Z2" i="1178"/>
  <c r="Y3" i="1178"/>
  <c r="Y2" i="1178"/>
  <c r="X3" i="1178"/>
  <c r="X2" i="1178"/>
  <c r="W3" i="1178"/>
  <c r="W2" i="1178"/>
  <c r="V3" i="1178"/>
  <c r="V3" i="1177"/>
  <c r="Y3" i="1176"/>
  <c r="Z6" i="1178" s="1"/>
  <c r="Y2" i="1176"/>
  <c r="X2" i="1176"/>
  <c r="W2" i="1176"/>
  <c r="X3" i="1176"/>
  <c r="W3" i="1176"/>
  <c r="V3" i="1176"/>
  <c r="V6" i="1178" s="1"/>
  <c r="Y3" i="1175"/>
  <c r="Y7" i="1178" s="1"/>
  <c r="AA2" i="1175"/>
  <c r="Z2" i="1175"/>
  <c r="Y2" i="1175"/>
  <c r="X2" i="1175"/>
  <c r="W2" i="1175"/>
  <c r="AA8" i="1175"/>
  <c r="Z8" i="1175"/>
  <c r="Y8" i="1175"/>
  <c r="X8" i="1175"/>
  <c r="AA3" i="1175"/>
  <c r="AA7" i="1178" s="1"/>
  <c r="Z3" i="1175"/>
  <c r="Z7" i="1181" s="1"/>
  <c r="W8" i="1175"/>
  <c r="V8" i="1175"/>
  <c r="X3" i="1175"/>
  <c r="X7" i="1178" s="1"/>
  <c r="W3" i="1175"/>
  <c r="W7" i="1178" s="1"/>
  <c r="V3" i="1175"/>
  <c r="V3" i="1174"/>
  <c r="V3" i="1173"/>
  <c r="V6" i="1174" s="1"/>
  <c r="V3" i="1172"/>
  <c r="V3" i="1171"/>
  <c r="V10" i="1177" s="1"/>
  <c r="V6" i="1170"/>
  <c r="V3" i="1170"/>
  <c r="V11" i="1176" s="1"/>
  <c r="X6" i="1182" l="1"/>
  <c r="W6" i="1182"/>
  <c r="V6" i="1182"/>
  <c r="X6" i="1181"/>
  <c r="W6" i="1181"/>
  <c r="Y6" i="1181"/>
  <c r="V12" i="1180"/>
  <c r="Z6" i="1181"/>
  <c r="AA17" i="1175"/>
  <c r="W12" i="1180"/>
  <c r="Y11" i="1176"/>
  <c r="Y7" i="1181"/>
  <c r="Y6" i="1178"/>
  <c r="Z7" i="1178"/>
  <c r="AA6" i="1178"/>
  <c r="AA7" i="1181"/>
  <c r="V6" i="1172"/>
  <c r="V7" i="1172"/>
  <c r="V7" i="1178"/>
  <c r="V15" i="1177"/>
  <c r="W6" i="1178"/>
  <c r="V11" i="1179"/>
  <c r="V6" i="1181"/>
  <c r="V17" i="1175"/>
  <c r="X6" i="1178"/>
  <c r="V7" i="1181"/>
  <c r="W7" i="1181"/>
  <c r="W17" i="1175"/>
  <c r="Y17" i="1175"/>
  <c r="W11" i="1176"/>
  <c r="X7" i="1181"/>
  <c r="V7" i="1174"/>
  <c r="X17" i="1175"/>
  <c r="Z17" i="1175"/>
  <c r="X11" i="1176"/>
  <c r="V2" i="1181"/>
  <c r="B7" i="1181"/>
  <c r="B6" i="1181"/>
  <c r="B5" i="1181"/>
  <c r="B4" i="1181"/>
  <c r="B3" i="1181"/>
  <c r="V2" i="1180"/>
  <c r="B18" i="1180"/>
  <c r="B17" i="1180"/>
  <c r="B16" i="1180"/>
  <c r="B15" i="1180"/>
  <c r="B14" i="1180"/>
  <c r="B13" i="1180"/>
  <c r="B12" i="1180"/>
  <c r="B11" i="1180"/>
  <c r="B10" i="1180"/>
  <c r="B9" i="1180"/>
  <c r="B8" i="1180"/>
  <c r="B7" i="1180"/>
  <c r="B6" i="1180"/>
  <c r="B5" i="1180"/>
  <c r="B4" i="1180"/>
  <c r="B3" i="1180"/>
  <c r="V2" i="1179"/>
  <c r="B11" i="1179"/>
  <c r="B10" i="1179"/>
  <c r="B9" i="1179"/>
  <c r="B8" i="1179"/>
  <c r="B7" i="1179"/>
  <c r="B6" i="1179"/>
  <c r="B5" i="1179"/>
  <c r="B4" i="1179"/>
  <c r="B3" i="1179"/>
  <c r="V2" i="1178"/>
  <c r="B7" i="1178"/>
  <c r="B6" i="1178"/>
  <c r="B5" i="1178"/>
  <c r="B4" i="1178"/>
  <c r="B3" i="1178"/>
  <c r="V2" i="1177"/>
  <c r="B18" i="1177"/>
  <c r="B17" i="1177"/>
  <c r="B16" i="1177"/>
  <c r="B15" i="1177"/>
  <c r="B14" i="1177"/>
  <c r="B13" i="1177"/>
  <c r="B12" i="1177"/>
  <c r="B11" i="1177"/>
  <c r="B10" i="1177"/>
  <c r="B9" i="1177"/>
  <c r="B8" i="1177"/>
  <c r="B7" i="1177"/>
  <c r="B6" i="1177"/>
  <c r="B5" i="1177"/>
  <c r="B4" i="1177"/>
  <c r="B3" i="1177"/>
  <c r="V2" i="1176"/>
  <c r="B11" i="1176"/>
  <c r="B10" i="1176"/>
  <c r="B9" i="1176"/>
  <c r="B8" i="1176"/>
  <c r="B7" i="1176"/>
  <c r="B6" i="1176"/>
  <c r="B5" i="1176"/>
  <c r="B4" i="1176"/>
  <c r="B3" i="1176"/>
  <c r="V2" i="1175"/>
  <c r="B17" i="1175"/>
  <c r="B16" i="1175"/>
  <c r="B15" i="1175"/>
  <c r="B14" i="1175"/>
  <c r="B13" i="1175"/>
  <c r="B12" i="1175"/>
  <c r="B11" i="1175"/>
  <c r="B10" i="1175"/>
  <c r="B9" i="1175"/>
  <c r="B8" i="1175"/>
  <c r="B7" i="1175"/>
  <c r="B6" i="1175"/>
  <c r="B5" i="1175"/>
  <c r="B4" i="1175"/>
  <c r="B3" i="1175"/>
  <c r="V2" i="1174"/>
  <c r="B7" i="1174"/>
  <c r="B6" i="1174"/>
  <c r="B5" i="1174"/>
  <c r="B4" i="1174"/>
  <c r="B3" i="1174"/>
  <c r="V2" i="1173"/>
  <c r="B21" i="1173"/>
  <c r="B20" i="1173"/>
  <c r="B19" i="1173"/>
  <c r="B18" i="1173"/>
  <c r="B17" i="1173"/>
  <c r="B16" i="1173"/>
  <c r="B15" i="1173"/>
  <c r="B14" i="1173"/>
  <c r="B13" i="1173"/>
  <c r="B12" i="1173"/>
  <c r="B11" i="1173"/>
  <c r="B10" i="1173"/>
  <c r="B9" i="1173"/>
  <c r="B8" i="1173"/>
  <c r="B7" i="1173"/>
  <c r="B6" i="1173"/>
  <c r="B5" i="1173"/>
  <c r="B4" i="1173"/>
  <c r="B3" i="1173"/>
  <c r="V2" i="1172"/>
  <c r="B8" i="1172"/>
  <c r="B7" i="1172"/>
  <c r="B6" i="1172"/>
  <c r="B5" i="1172"/>
  <c r="B4" i="1172"/>
  <c r="B3" i="1172"/>
  <c r="V2" i="1171"/>
  <c r="B10" i="1171"/>
  <c r="B9" i="1171"/>
  <c r="B8" i="1171"/>
  <c r="B7" i="1171"/>
  <c r="B6" i="1171"/>
  <c r="B5" i="1171"/>
  <c r="B4" i="1171"/>
  <c r="B3" i="1171"/>
  <c r="V2" i="1170"/>
  <c r="B14" i="1170"/>
  <c r="B13" i="1170"/>
  <c r="B12" i="1170"/>
  <c r="B11" i="1170"/>
  <c r="B10" i="1170"/>
  <c r="B9" i="1170"/>
  <c r="B8" i="1170"/>
  <c r="B7" i="1170"/>
  <c r="B6" i="1170"/>
  <c r="B5" i="1170"/>
  <c r="B4" i="1170"/>
  <c r="B3" i="1170"/>
  <c r="N27" i="1" l="1"/>
  <c r="N28" i="1"/>
  <c r="N29" i="1"/>
  <c r="N35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39" i="1" l="1"/>
  <c r="R137" i="1"/>
  <c r="U108" i="1"/>
  <c r="U106" i="1"/>
  <c r="S92" i="1"/>
  <c r="U88" i="1"/>
  <c r="U86" i="1"/>
  <c r="S72" i="1"/>
  <c r="S47" i="1"/>
  <c r="S45" i="1"/>
</calcChain>
</file>

<file path=xl/sharedStrings.xml><?xml version="1.0" encoding="utf-8"?>
<sst xmlns="http://schemas.openxmlformats.org/spreadsheetml/2006/main" count="912" uniqueCount="294">
  <si>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</si>
  <si>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</si>
  <si>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</si>
  <si>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</si>
  <si>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</si>
  <si>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</si>
  <si>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</si>
  <si>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</si>
  <si>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</si>
  <si>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</si>
  <si>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</si>
  <si>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</si>
  <si>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</si>
  <si>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</si>
  <si>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</si>
  <si>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</si>
  <si>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</si>
  <si>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</si>
  <si>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</si>
  <si>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</si>
  <si>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</si>
  <si>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</si>
  <si>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</si>
  <si>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</si>
  <si>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</si>
  <si>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</si>
  <si>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</si>
  <si>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</si>
  <si>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</si>
  <si>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</si>
  <si>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</si>
  <si>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</si>
  <si>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</si>
  <si>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</si>
  <si>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</si>
  <si>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</si>
  <si>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</si>
  <si>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</si>
  <si>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</si>
  <si>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</si>
  <si>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</si>
  <si>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</si>
  <si>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</si>
  <si>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</si>
  <si>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</si>
  <si>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</si>
  <si>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</si>
  <si>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</si>
  <si>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</si>
  <si>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</si>
  <si>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</si>
  <si>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</si>
  <si>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</si>
  <si>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</si>
  <si>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</si>
  <si>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</si>
  <si>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</si>
  <si>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</si>
  <si>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</si>
  <si>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</si>
  <si>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</si>
  <si>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</si>
  <si>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</si>
  <si>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</si>
  <si>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</si>
  <si>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</si>
  <si>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</si>
  <si>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</si>
  <si>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</si>
  <si>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</si>
  <si>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</si>
  <si>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</si>
  <si>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</si>
  <si>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</si>
  <si>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</si>
  <si>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</si>
  <si>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</si>
  <si>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</si>
  <si>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</si>
  <si>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</si>
  <si>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</si>
  <si>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</si>
  <si>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</si>
  <si>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</si>
  <si>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</si>
  <si>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</si>
  <si>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</si>
  <si>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CFn Json Path</t>
    <phoneticPr fontId="1"/>
  </si>
  <si>
    <t>Max_Indent</t>
    <phoneticPr fontId="1"/>
  </si>
  <si>
    <t>DeletionPolicy: Delete</t>
    <phoneticPr fontId="1"/>
  </si>
  <si>
    <t>Resources:</t>
    <phoneticPr fontId="1"/>
  </si>
  <si>
    <t xml:space="preserve">AppSyncGraphQLApiSpecification.json  </t>
  </si>
  <si>
    <t xml:space="preserve">CloudWatchInsightRuleSpecification.json                             </t>
  </si>
  <si>
    <t xml:space="preserve">CodeBuildProjectSpecification.json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</si>
  <si>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</si>
  <si>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</si>
  <si>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</si>
  <si>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</si>
  <si>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</si>
  <si>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</si>
  <si>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</si>
  <si>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</si>
  <si>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</si>
  <si>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</si>
  <si>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</si>
  <si>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</si>
  <si>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</si>
  <si>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</si>
  <si>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</si>
  <si>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</si>
  <si>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</si>
  <si>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</si>
  <si>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ResouceType</t>
    <phoneticPr fontId="1"/>
  </si>
  <si>
    <t>ResouceName</t>
    <phoneticPr fontId="1"/>
  </si>
  <si>
    <t xml:space="preserve">EC2VPCSpecification.json </t>
  </si>
  <si>
    <t>EC2InternetGatewaySpecification.json</t>
  </si>
  <si>
    <t xml:space="preserve">EC2VPCGatewayAttachmentSpecification.json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</si>
  <si>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</si>
  <si>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</si>
  <si>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</si>
  <si>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</si>
  <si>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</si>
  <si>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</si>
  <si>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</si>
  <si>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</si>
  <si>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</si>
  <si>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</si>
  <si>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</si>
  <si>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</si>
  <si>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</si>
  <si>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</si>
  <si>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</si>
  <si>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</si>
  <si>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Function2</t>
    <phoneticPr fontId="1"/>
  </si>
  <si>
    <t>Function3</t>
    <phoneticPr fontId="1"/>
  </si>
  <si>
    <t xml:space="preserve">DeletionPolicy: </t>
    <phoneticPr fontId="1"/>
  </si>
  <si>
    <t>CFn ResourceSpecificationVersion</t>
    <phoneticPr fontId="1"/>
  </si>
  <si>
    <t>Tag以降で文字列に!Refに置き換えられるパターンがある。</t>
    <rPh sb="3" eb="5">
      <t>イコウ</t>
    </rPh>
    <rPh sb="6" eb="9">
      <t>モジレツ</t>
    </rPh>
    <rPh sb="15" eb="16">
      <t>オ</t>
    </rPh>
    <rPh sb="17" eb="18">
      <t>カ</t>
    </rPh>
    <phoneticPr fontId="1"/>
  </si>
  <si>
    <t>CFn</t>
  </si>
  <si>
    <t>Name:</t>
  </si>
  <si>
    <t>String</t>
  </si>
  <si>
    <t>Resource Name</t>
  </si>
  <si>
    <t>Type: AWS::EC2::VPC</t>
  </si>
  <si>
    <t/>
  </si>
  <si>
    <t>Link</t>
  </si>
  <si>
    <t xml:space="preserve">CidrBlock: </t>
  </si>
  <si>
    <t xml:space="preserve">EnableDnsHostnames: </t>
  </si>
  <si>
    <t>Boolean</t>
  </si>
  <si>
    <t xml:space="preserve">EnableDnsSupport: </t>
  </si>
  <si>
    <t xml:space="preserve">InstanceTenancy: </t>
  </si>
  <si>
    <t xml:space="preserve">- </t>
  </si>
  <si>
    <t xml:space="preserve">Key: </t>
  </si>
  <si>
    <t>No</t>
  </si>
  <si>
    <t>Resources</t>
  </si>
  <si>
    <t>Type</t>
  </si>
  <si>
    <t>Remarks</t>
  </si>
  <si>
    <t xml:space="preserve">InternetGatewayId: </t>
  </si>
  <si>
    <t xml:space="preserve">VpcId: </t>
  </si>
  <si>
    <t xml:space="preserve">VpnGatewayId: </t>
  </si>
  <si>
    <t>Integer</t>
  </si>
  <si>
    <t>Type: AWS::EC2::Subnet</t>
  </si>
  <si>
    <t xml:space="preserve">AssignIpv6AddressOnCreation: </t>
  </si>
  <si>
    <t xml:space="preserve">AvailabilityZone: </t>
  </si>
  <si>
    <t xml:space="preserve">Ipv6CidrBlock: </t>
  </si>
  <si>
    <t xml:space="preserve">MapPublicIpOnLaunch: </t>
  </si>
  <si>
    <t>Type: AWS::EC2::Route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</si>
  <si>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</si>
  <si>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</si>
  <si>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</si>
  <si>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</si>
  <si>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</si>
  <si>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NatGatewayId: </t>
  </si>
  <si>
    <t xml:space="preserve">NetworkInterfaceId: </t>
  </si>
  <si>
    <t xml:space="preserve">RouteTableId: </t>
  </si>
  <si>
    <t xml:space="preserve">TransitGatewayId: </t>
  </si>
  <si>
    <t xml:space="preserve">VpcPeeringConnectionId: </t>
  </si>
  <si>
    <t>Type: AWS::EC2::SubnetRouteTableAssociation</t>
  </si>
  <si>
    <t xml:space="preserve">SubnetId: </t>
  </si>
  <si>
    <t>Type: AWS::EC2::NetworkAcl</t>
  </si>
  <si>
    <t>Type: AWS::EC2::NetworkAclEntry</t>
  </si>
  <si>
    <t xml:space="preserve">Egress: </t>
  </si>
  <si>
    <t xml:space="preserve">Icmp: </t>
  </si>
  <si>
    <t xml:space="preserve">Code: </t>
  </si>
  <si>
    <t xml:space="preserve">Type: </t>
  </si>
  <si>
    <t xml:space="preserve">NetworkAclId: </t>
  </si>
  <si>
    <t xml:space="preserve">PortRange: </t>
  </si>
  <si>
    <t xml:space="preserve">From: </t>
  </si>
  <si>
    <t xml:space="preserve">To: </t>
  </si>
  <si>
    <t xml:space="preserve">Protocol: </t>
  </si>
  <si>
    <t xml:space="preserve">RuleAction: </t>
  </si>
  <si>
    <t xml:space="preserve">RuleNumber: </t>
  </si>
  <si>
    <t>Type: AWS::EC2::SubnetNetworkAclAssociation</t>
  </si>
  <si>
    <t>EC2InstanceSpecification.json</t>
  </si>
  <si>
    <t>EC2SecurityGroupIngressSpecification.json</t>
  </si>
  <si>
    <t>EC2SecurityGroupEgressSpecification.json</t>
  </si>
  <si>
    <t>EC2DHCPOptionsSpecification.json</t>
  </si>
  <si>
    <t>EC2VPCDHCPOptionsAssociationSpecification.json</t>
  </si>
  <si>
    <t>EC2VPCEndpointSpecification.json</t>
  </si>
  <si>
    <t>IAMRoleSpecification.json</t>
  </si>
  <si>
    <t>IAMInstanceProfileSpecification.json</t>
  </si>
  <si>
    <t>IAMManagedPolicySpecification.json</t>
  </si>
  <si>
    <t>Type: AWS::EC2::InternetGateway</t>
  </si>
  <si>
    <t>Type: AWS::EC2::VPCGatewayAttachment</t>
  </si>
  <si>
    <t>Type: AWS::EC2::DHCPOptions</t>
  </si>
  <si>
    <t xml:space="preserve">DomainName: </t>
  </si>
  <si>
    <t xml:space="preserve">DomainNameServers: </t>
  </si>
  <si>
    <t xml:space="preserve">NetbiosNameServers: </t>
  </si>
  <si>
    <t xml:space="preserve">NetbiosNodeType: </t>
  </si>
  <si>
    <t xml:space="preserve">NtpServers: </t>
  </si>
  <si>
    <t>Type: AWS::EC2::VPCDHCPOptionsAssociation</t>
  </si>
  <si>
    <t xml:space="preserve">DhcpOptionsId: </t>
  </si>
  <si>
    <t xml:space="preserve">OutpostArn: </t>
  </si>
  <si>
    <t>Type: AWS::EC2::RouteTable</t>
  </si>
  <si>
    <t xml:space="preserve">CarrierGatewayId: </t>
  </si>
  <si>
    <t xml:space="preserve">LocalGatewayId: </t>
  </si>
  <si>
    <t xml:space="preserve">VpcEndpointId: </t>
  </si>
  <si>
    <t>Availability Zone 1</t>
    <phoneticPr fontId="1"/>
  </si>
  <si>
    <t>Availability Zone 2</t>
  </si>
  <si>
    <t>VPC CIDR</t>
    <phoneticPr fontId="1"/>
  </si>
  <si>
    <t>Private Subnet01 CIDR</t>
    <phoneticPr fontId="1"/>
  </si>
  <si>
    <t>Public Subnet01 CIDR</t>
    <phoneticPr fontId="1"/>
  </si>
  <si>
    <t>Availability Zone 3</t>
    <phoneticPr fontId="1"/>
  </si>
  <si>
    <t>Private Subnet02 CIDR</t>
    <phoneticPr fontId="1"/>
  </si>
  <si>
    <t>Private Subnet03 CIDR</t>
    <phoneticPr fontId="1"/>
  </si>
  <si>
    <t>Public Subnet02 CIDR</t>
    <phoneticPr fontId="1"/>
  </si>
  <si>
    <t>Public Subnet03 CIDR</t>
    <phoneticPr fontId="1"/>
  </si>
  <si>
    <t>31.2.0</t>
    <phoneticPr fontId="1"/>
  </si>
  <si>
    <t>true</t>
  </si>
  <si>
    <t>true</t>
    <phoneticPr fontId="1"/>
  </si>
  <si>
    <t>default</t>
    <phoneticPr fontId="1"/>
  </si>
  <si>
    <t>192.168.0.32/27</t>
  </si>
  <si>
    <t>192.168.0.64/27</t>
  </si>
  <si>
    <t>192.168.0.128/27</t>
  </si>
  <si>
    <t>192.168.0.160/27</t>
  </si>
  <si>
    <t>192.168.0.192/27</t>
  </si>
  <si>
    <t>AmazonProvidedDNS</t>
  </si>
  <si>
    <t>0.0.0.0/0</t>
  </si>
  <si>
    <t>allow</t>
  </si>
  <si>
    <t>false</t>
  </si>
  <si>
    <t xml:space="preserve"> AWS::EC2::VPC</t>
  </si>
  <si>
    <t xml:space="preserve"> AWS::EC2::InternetGateway</t>
  </si>
  <si>
    <t xml:space="preserve"> AWS::EC2::DHCPOptions</t>
  </si>
  <si>
    <t xml:space="preserve"> AWS::EC2::Subnet</t>
  </si>
  <si>
    <t xml:space="preserve"> AWS::EC2::RouteTable</t>
  </si>
  <si>
    <t xml:space="preserve"> AWS::EC2::NetworkAcl</t>
  </si>
  <si>
    <t>ap-south-1</t>
    <phoneticPr fontId="1"/>
  </si>
  <si>
    <t>ap-south-1a</t>
    <phoneticPr fontId="1"/>
  </si>
  <si>
    <t>ap-south-1b</t>
    <phoneticPr fontId="1"/>
  </si>
  <si>
    <t>ap-south-1c</t>
    <phoneticPr fontId="1"/>
  </si>
  <si>
    <t>192.168.0.0/24</t>
    <phoneticPr fontId="1"/>
  </si>
  <si>
    <t>192.168.0.0/27</t>
    <phoneticPr fontId="1"/>
  </si>
  <si>
    <t>!Sub "${AWS::Region}.compute.internal"</t>
    <phoneticPr fontId="1"/>
  </si>
  <si>
    <t>!Select 
        - 0
        - Fn::GetAZs: !Ref "AWS::Region"</t>
    <phoneticPr fontId="1"/>
  </si>
  <si>
    <t>!Select 
        - 1
        - Fn::GetAZs: !Ref "AWS::Region"</t>
    <phoneticPr fontId="1"/>
  </si>
  <si>
    <t>!Select 
        - 2
        - Fn::GetAZs: !Ref "AWS::Region"</t>
    <phoneticPr fontId="1"/>
  </si>
  <si>
    <t>不要</t>
    <rPh sb="0" eb="2">
      <t>フヨウ</t>
    </rPh>
    <phoneticPr fontId="1"/>
  </si>
  <si>
    <t>%USERPROFILE%\Box\mkayano2\10業務\20211007Grafana</t>
    <phoneticPr fontId="1"/>
  </si>
  <si>
    <t>mkayano2</t>
    <phoneticPr fontId="1"/>
  </si>
  <si>
    <t>mkayano2-VPC</t>
  </si>
  <si>
    <t>mkayano2-InternetGateway</t>
  </si>
  <si>
    <t>mkayano2-DHCPOptions</t>
  </si>
  <si>
    <t>mkayano2-Subnet-Private01</t>
  </si>
  <si>
    <t>mkayano2-Subnet-Private02</t>
  </si>
  <si>
    <t>mkayano2-Subnet-Private03</t>
  </si>
  <si>
    <t>mkayano2-Subnet-Public01</t>
  </si>
  <si>
    <t>mkayano2-Subnet-Public02</t>
  </si>
  <si>
    <t>mkayano2-Subnet-Public03</t>
  </si>
  <si>
    <t>mkayano2-RouteTable-Private01</t>
  </si>
  <si>
    <t>mkayano2-RouteTable-Private02</t>
  </si>
  <si>
    <t>mkayano2-RouteTable-Private03</t>
  </si>
  <si>
    <t>mkayano2-RouteTable-Public</t>
  </si>
  <si>
    <t>mkayano2-NetworkAcl</t>
  </si>
  <si>
    <t xml:space="preserve">ToPort: </t>
  </si>
  <si>
    <t xml:space="preserve">SourceSecurityGroupOwnerId: </t>
  </si>
  <si>
    <t xml:space="preserve">SourceSecurityGroupName: </t>
  </si>
  <si>
    <t xml:space="preserve">SourceSecurityGroupId: </t>
  </si>
  <si>
    <t xml:space="preserve">SourcePrefixListId: </t>
  </si>
  <si>
    <t xml:space="preserve">IpProtocol: </t>
  </si>
  <si>
    <t xml:space="preserve">FromPort: </t>
  </si>
  <si>
    <t xml:space="preserve">Description: </t>
  </si>
  <si>
    <t xml:space="preserve">CidrIpv6: </t>
  </si>
  <si>
    <t xml:space="preserve">CidrIp: </t>
  </si>
  <si>
    <t xml:space="preserve">SecurityGroupIngress: </t>
  </si>
  <si>
    <t xml:space="preserve">DestinationSecurityGroupId: </t>
  </si>
  <si>
    <t xml:space="preserve">DestinationPrefixListId: </t>
  </si>
  <si>
    <t>127.0.0.1/32</t>
    <phoneticPr fontId="1"/>
  </si>
  <si>
    <t xml:space="preserve">SecurityGroupEgress: </t>
  </si>
  <si>
    <t xml:space="preserve">GroupName: </t>
  </si>
  <si>
    <t xml:space="preserve">GroupDescription: </t>
  </si>
  <si>
    <t>Type: AWS::EC2::SecurityGroup</t>
  </si>
  <si>
    <t xml:space="preserve"> AWS::EC2::SecurityGroup</t>
  </si>
  <si>
    <t>mkayano2-SecurityGroup-prometheus</t>
  </si>
  <si>
    <t>mkayano2-SecurityGroup-AMP-Endpoint</t>
  </si>
  <si>
    <t>mkayano2-SecurityGroup-nat-bastion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</si>
</sst>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  <font>
      <u/>
      <sz val="11"/>
      <color theme="10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3" fillId="7" borderId="0" xfId="0" applyFont="1" applyFill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8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4" fillId="0" borderId="0" xfId="0" applyFont="1"/>
    <xf numFmtId="0" fontId="0" fillId="0" borderId="3" xfId="0" applyBorder="1"/>
    <xf numFmtId="0" fontId="0" fillId="0" borderId="4" xfId="0" applyBorder="1"/>
    <xf numFmtId="0" fontId="0" fillId="9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2" borderId="3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" xfId="0" applyFill="1" applyBorder="1"/>
    <xf numFmtId="0" fontId="0" fillId="0" borderId="1" xfId="0" applyBorder="1" applyAlignment="1">
      <alignment vertical="top"/>
    </xf>
    <xf numFmtId="0" fontId="0" fillId="0" borderId="3" xfId="0" applyBorder="1" applyAlignment="1">
      <alignment vertical="top"/>
    </xf>
    <xf numFmtId="0" fontId="5" fillId="0" borderId="1" xfId="1" applyBorder="1" applyAlignment="1">
      <alignment vertical="top"/>
    </xf>
    <xf numFmtId="0" fontId="0" fillId="3" borderId="3" xfId="0" applyFill="1" applyBorder="1" applyAlignment="1">
      <alignment vertical="top"/>
    </xf>
    <xf numFmtId="0" fontId="0" fillId="3" borderId="1" xfId="0" quotePrefix="1" applyFill="1" applyBorder="1" applyAlignment="1">
      <alignment vertical="top"/>
    </xf>
    <xf numFmtId="0" fontId="5" fillId="3" borderId="1" xfId="1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0" fillId="4" borderId="1" xfId="0" quotePrefix="1" applyFill="1" applyBorder="1" applyAlignment="1">
      <alignment vertical="top"/>
    </xf>
    <xf numFmtId="0" fontId="5" fillId="4" borderId="1" xfId="1" applyFill="1" applyBorder="1" applyAlignment="1">
      <alignment vertical="top"/>
    </xf>
    <xf numFmtId="0" fontId="0" fillId="0" borderId="3" xfId="0" quotePrefix="1" applyBorder="1" applyAlignment="1">
      <alignment vertical="top"/>
    </xf>
    <xf numFmtId="0" fontId="0" fillId="10" borderId="3" xfId="0" quotePrefix="1" applyFill="1" applyBorder="1" applyAlignment="1">
      <alignment vertical="top"/>
    </xf>
    <xf numFmtId="0" fontId="0" fillId="0" borderId="1" xfId="0" quotePrefix="1" applyBorder="1"/>
    <xf numFmtId="0" fontId="0" fillId="0" borderId="1" xfId="0" applyBorder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152400</xdr:rowOff>
        </xdr:from>
        <xdr:to>
          <xdr:col>3</xdr:col>
          <xdr:colOff>1047750</xdr:colOff>
          <xdr:row>6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vpc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vpc.html" TargetMode="External"/><Relationship Id="rId1" Type="http://schemas.openxmlformats.org/officeDocument/2006/relationships/hyperlink" Target="http://docs.aws.amazon.com/AWSCloudFormation/latest/UserGuide/aws-resource-ec2-vpc.html" TargetMode="External"/><Relationship Id="rId6" Type="http://schemas.openxmlformats.org/officeDocument/2006/relationships/hyperlink" Target="http://docs.aws.amazon.com/AWSCloudFormation/latest/UserGuide/aws-resource-ec2-vpc.html" TargetMode="External"/><Relationship Id="rId5" Type="http://schemas.openxmlformats.org/officeDocument/2006/relationships/hyperlink" Target="http://docs.aws.amazon.com/AWSCloudFormation/latest/UserGuide/aws-resource-ec2-vpc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vpc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internetgateway.html" TargetMode="External"/><Relationship Id="rId1" Type="http://schemas.openxmlformats.org/officeDocument/2006/relationships/hyperlink" Target="http://docs.aws.amazon.com/AWSCloudFormation/latest/UserGuide/aws-resource-ec2-interne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gateway-attachment.html" TargetMode="External"/><Relationship Id="rId2" Type="http://schemas.openxmlformats.org/officeDocument/2006/relationships/hyperlink" Target="http://docs.aws.amazon.com/AWSCloudFormation/latest/UserGuide/aws-resource-ec2-vpc-gateway-attachment.html" TargetMode="External"/><Relationship Id="rId1" Type="http://schemas.openxmlformats.org/officeDocument/2006/relationships/hyperlink" Target="http://docs.aws.amazon.com/AWSCloudFormation/latest/UserGuide/aws-resource-ec2-vpc-gateway-attachment.html" TargetMode="External"/><Relationship Id="rId4" Type="http://schemas.openxmlformats.org/officeDocument/2006/relationships/hyperlink" Target="http://docs.aws.amazon.com/AWSCloudFormation/latest/UserGuide/aws-resource-ec2-vpc-gateway-attachment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dhcp-options.html" TargetMode="External"/><Relationship Id="rId7" Type="http://schemas.openxmlformats.org/officeDocument/2006/relationships/hyperlink" Target="http://docs.aws.amazon.com/AWSCloudFormation/latest/UserGuide/aws-resource-ec2-dhcp-options.html" TargetMode="External"/><Relationship Id="rId2" Type="http://schemas.openxmlformats.org/officeDocument/2006/relationships/hyperlink" Target="http://docs.aws.amazon.com/AWSCloudFormation/latest/UserGuide/aws-resource-ec2-dhcp-options.html" TargetMode="External"/><Relationship Id="rId1" Type="http://schemas.openxmlformats.org/officeDocument/2006/relationships/hyperlink" Target="http://docs.aws.amazon.com/AWSCloudFormation/latest/UserGuide/aws-resource-ec2-dhcp-options.html" TargetMode="External"/><Relationship Id="rId6" Type="http://schemas.openxmlformats.org/officeDocument/2006/relationships/hyperlink" Target="http://docs.aws.amazon.com/AWSCloudFormation/latest/UserGuide/aws-resource-ec2-dhcp-options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dhcp-options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dhcp-options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dhcp-options-assoc.html" TargetMode="External"/><Relationship Id="rId2" Type="http://schemas.openxmlformats.org/officeDocument/2006/relationships/hyperlink" Target="http://docs.aws.amazon.com/AWSCloudFormation/latest/UserGuide/aws-resource-ec2-vpc-dhcp-options-assoc.html" TargetMode="External"/><Relationship Id="rId1" Type="http://schemas.openxmlformats.org/officeDocument/2006/relationships/hyperlink" Target="http://docs.aws.amazon.com/AWSCloudFormation/latest/UserGuide/aws-resource-ec2-vpc-dhcp-options-assoc.html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subnet.html" TargetMode="External"/><Relationship Id="rId13" Type="http://schemas.openxmlformats.org/officeDocument/2006/relationships/hyperlink" Target="http://docs.aws.amazon.com/AWSCloudFormation/latest/UserGuide/aws-resource-ec2-subnet.html" TargetMode="External"/><Relationship Id="rId3" Type="http://schemas.openxmlformats.org/officeDocument/2006/relationships/hyperlink" Target="http://docs.aws.amazon.com/AWSCloudFormation/latest/UserGuide/aws-resource-ec2-subnet.html" TargetMode="External"/><Relationship Id="rId7" Type="http://schemas.openxmlformats.org/officeDocument/2006/relationships/hyperlink" Target="http://docs.aws.amazon.com/AWSCloudFormation/latest/UserGuide/aws-resource-ec2-subnet.html" TargetMode="External"/><Relationship Id="rId12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subnet.html" TargetMode="External"/><Relationship Id="rId1" Type="http://schemas.openxmlformats.org/officeDocument/2006/relationships/hyperlink" Target="http://docs.aws.amazon.com/AWSCloudFormation/latest/UserGuide/aws-resource-ec2-subnet.html" TargetMode="External"/><Relationship Id="rId6" Type="http://schemas.openxmlformats.org/officeDocument/2006/relationships/hyperlink" Target="http://docs.aws.amazon.com/AWSCloudFormation/latest/UserGuide/aws-resource-ec2-subnet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subnet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subnet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route-table.html" TargetMode="External"/><Relationship Id="rId2" Type="http://schemas.openxmlformats.org/officeDocument/2006/relationships/hyperlink" Target="http://docs.aws.amazon.com/AWSCloudFormation/latest/UserGuide/aws-resource-ec2-route-table.html" TargetMode="External"/><Relationship Id="rId1" Type="http://schemas.openxmlformats.org/officeDocument/2006/relationships/hyperlink" Target="http://docs.aws.amazon.com/AWSCloudFormation/latest/UserGuide/aws-resource-ec2-route-table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13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12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Relationship Id="rId14" Type="http://schemas.openxmlformats.org/officeDocument/2006/relationships/hyperlink" Target="http://docs.aws.amazon.com/AWSCloudFormation/latest/UserGuide/aws-resource-ec2-route.html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route-table-assoc.html" TargetMode="External"/><Relationship Id="rId2" Type="http://schemas.openxmlformats.org/officeDocument/2006/relationships/hyperlink" Target="http://docs.aws.amazon.com/AWSCloudFormation/latest/UserGuide/aws-resource-ec2-subnet-route-table-assoc.html" TargetMode="External"/><Relationship Id="rId1" Type="http://schemas.openxmlformats.org/officeDocument/2006/relationships/hyperlink" Target="http://docs.aws.amazon.com/AWSCloudFormation/latest/UserGuide/aws-resource-ec2-subnet-route-table-assoc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network-acl.html" TargetMode="External"/><Relationship Id="rId2" Type="http://schemas.openxmlformats.org/officeDocument/2006/relationships/hyperlink" Target="http://docs.aws.amazon.com/AWSCloudFormation/latest/UserGuide/aws-resource-ec2-network-acl.html" TargetMode="External"/><Relationship Id="rId1" Type="http://schemas.openxmlformats.org/officeDocument/2006/relationships/hyperlink" Target="http://docs.aws.amazon.com/AWSCloudFormation/latest/UserGuide/aws-resource-ec2-network-acl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network-acl-entry.html" TargetMode="External"/><Relationship Id="rId13" Type="http://schemas.openxmlformats.org/officeDocument/2006/relationships/hyperlink" Target="http://docs.aws.amazon.com/AWSCloudFormation/latest/UserGuide/aws-resource-ec2-network-acl-entry.html" TargetMode="External"/><Relationship Id="rId3" Type="http://schemas.openxmlformats.org/officeDocument/2006/relationships/hyperlink" Target="http://docs.aws.amazon.com/AWSCloudFormation/latest/UserGuide/aws-resource-ec2-network-acl-entry.html" TargetMode="External"/><Relationship Id="rId7" Type="http://schemas.openxmlformats.org/officeDocument/2006/relationships/hyperlink" Target="http://docs.aws.amazon.com/AWSCloudFormation/latest/UserGuide/aws-resource-ec2-network-acl-entry.html" TargetMode="External"/><Relationship Id="rId12" Type="http://schemas.openxmlformats.org/officeDocument/2006/relationships/hyperlink" Target="http://docs.aws.amazon.com/AWSCloudFormation/latest/UserGuide/aws-resource-ec2-network-acl-entry.html" TargetMode="External"/><Relationship Id="rId2" Type="http://schemas.openxmlformats.org/officeDocument/2006/relationships/hyperlink" Target="http://docs.aws.amazon.com/AWSCloudFormation/latest/UserGuide/aws-resource-ec2-network-acl-entry.html" TargetMode="External"/><Relationship Id="rId1" Type="http://schemas.openxmlformats.org/officeDocument/2006/relationships/hyperlink" Target="http://docs.aws.amazon.com/AWSCloudFormation/latest/UserGuide/aws-resource-ec2-network-acl-entry.html" TargetMode="External"/><Relationship Id="rId6" Type="http://schemas.openxmlformats.org/officeDocument/2006/relationships/hyperlink" Target="http://docs.aws.amazon.com/AWSCloudFormation/latest/UserGuide/aws-properties-ec2-networkaclentry-icmp.html" TargetMode="External"/><Relationship Id="rId11" Type="http://schemas.openxmlformats.org/officeDocument/2006/relationships/hyperlink" Target="http://docs.aws.amazon.com/AWSCloudFormation/latest/UserGuide/aws-properties-ec2-networkaclentry-portrange.html" TargetMode="External"/><Relationship Id="rId5" Type="http://schemas.openxmlformats.org/officeDocument/2006/relationships/hyperlink" Target="http://docs.aws.amazon.com/AWSCloudFormation/latest/UserGuide/aws-properties-ec2-networkaclentry-icmp.html" TargetMode="External"/><Relationship Id="rId10" Type="http://schemas.openxmlformats.org/officeDocument/2006/relationships/hyperlink" Target="http://docs.aws.amazon.com/AWSCloudFormation/latest/UserGuide/aws-properties-ec2-networkaclentry-portrange.html" TargetMode="External"/><Relationship Id="rId4" Type="http://schemas.openxmlformats.org/officeDocument/2006/relationships/hyperlink" Target="http://docs.aws.amazon.com/AWSCloudFormation/latest/UserGuide/aws-resource-ec2-network-acl-entry.html" TargetMode="External"/><Relationship Id="rId9" Type="http://schemas.openxmlformats.org/officeDocument/2006/relationships/hyperlink" Target="http://docs.aws.amazon.com/AWSCloudFormation/latest/UserGuide/aws-resource-ec2-network-acl-entry.html" TargetMode="External"/><Relationship Id="rId14" Type="http://schemas.openxmlformats.org/officeDocument/2006/relationships/hyperlink" Target="http://docs.aws.amazon.com/AWSCloudFormation/latest/UserGuide/aws-resource-ec2-network-acl-entry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network-acl-assoc.html" TargetMode="External"/><Relationship Id="rId2" Type="http://schemas.openxmlformats.org/officeDocument/2006/relationships/hyperlink" Target="http://docs.aws.amazon.com/AWSCloudFormation/latest/UserGuide/aws-resource-ec2-subnet-network-acl-assoc.html" TargetMode="External"/><Relationship Id="rId1" Type="http://schemas.openxmlformats.org/officeDocument/2006/relationships/hyperlink" Target="http://docs.aws.amazon.com/AWSCloudFormation/latest/UserGuide/aws-resource-ec2-subnet-network-acl-assoc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rule.html" TargetMode="External"/><Relationship Id="rId13" Type="http://schemas.openxmlformats.org/officeDocument/2006/relationships/hyperlink" Target="http://docs.aws.amazon.com/AWSCloudFormation/latest/UserGuide/aws-properties-ec2-security-group-rule.html" TargetMode="External"/><Relationship Id="rId18" Type="http://schemas.openxmlformats.org/officeDocument/2006/relationships/hyperlink" Target="http://docs.aws.amazon.com/AWSCloudFormation/latest/UserGuide/aws-properties-ec2-security-group-rule.html" TargetMode="External"/><Relationship Id="rId26" Type="http://schemas.openxmlformats.org/officeDocument/2006/relationships/hyperlink" Target="http://docs.aws.amazon.com/AWSCloudFormation/latest/UserGuide/aws-properties-ec2-security-group-rule.html" TargetMode="External"/><Relationship Id="rId39" Type="http://schemas.openxmlformats.org/officeDocument/2006/relationships/hyperlink" Target="http://docs.aws.amazon.com/AWSCloudFormation/latest/UserGuide/aws-properties-ec2-security-group-rule.html" TargetMode="External"/><Relationship Id="rId3" Type="http://schemas.openxmlformats.org/officeDocument/2006/relationships/hyperlink" Target="http://docs.aws.amazon.com/AWSCloudFormation/latest/UserGuide/aws-properties-ec2-security-group.html" TargetMode="External"/><Relationship Id="rId21" Type="http://schemas.openxmlformats.org/officeDocument/2006/relationships/hyperlink" Target="http://docs.aws.amazon.com/AWSCloudFormation/latest/UserGuide/aws-properties-ec2-security-group.html" TargetMode="External"/><Relationship Id="rId34" Type="http://schemas.openxmlformats.org/officeDocument/2006/relationships/hyperlink" Target="http://docs.aws.amazon.com/AWSCloudFormation/latest/UserGuide/aws-properties-ec2-security-group-rule.html" TargetMode="External"/><Relationship Id="rId42" Type="http://schemas.openxmlformats.org/officeDocument/2006/relationships/hyperlink" Target="http://docs.aws.amazon.com/AWSCloudFormation/latest/UserGuide/aws-properties-ec2-security-group.html" TargetMode="External"/><Relationship Id="rId47" Type="http://schemas.openxmlformats.org/officeDocument/2006/relationships/hyperlink" Target="http://docs.aws.amazon.com/AWSCloudFormation/latest/UserGuide/aws-properties-ec2-security-group.html" TargetMode="External"/><Relationship Id="rId7" Type="http://schemas.openxmlformats.org/officeDocument/2006/relationships/hyperlink" Target="http://docs.aws.amazon.com/AWSCloudFormation/latest/UserGuide/aws-properties-ec2-security-group-rule.html" TargetMode="External"/><Relationship Id="rId12" Type="http://schemas.openxmlformats.org/officeDocument/2006/relationships/hyperlink" Target="http://docs.aws.amazon.com/AWSCloudFormation/latest/UserGuide/aws-properties-ec2-security-group-rule.html" TargetMode="External"/><Relationship Id="rId17" Type="http://schemas.openxmlformats.org/officeDocument/2006/relationships/hyperlink" Target="http://docs.aws.amazon.com/AWSCloudFormation/latest/UserGuide/aws-properties-ec2-security-group-rule.html" TargetMode="External"/><Relationship Id="rId25" Type="http://schemas.openxmlformats.org/officeDocument/2006/relationships/hyperlink" Target="http://docs.aws.amazon.com/AWSCloudFormation/latest/UserGuide/aws-properties-ec2-security-group-rule.html" TargetMode="External"/><Relationship Id="rId33" Type="http://schemas.openxmlformats.org/officeDocument/2006/relationships/hyperlink" Target="http://docs.aws.amazon.com/AWSCloudFormation/latest/UserGuide/aws-properties-ec2-security-group-rule.html" TargetMode="External"/><Relationship Id="rId38" Type="http://schemas.openxmlformats.org/officeDocument/2006/relationships/hyperlink" Target="http://docs.aws.amazon.com/AWSCloudFormation/latest/UserGuide/aws-properties-ec2-security-group-rule.html" TargetMode="External"/><Relationship Id="rId46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properties-ec2-security-group.html" TargetMode="External"/><Relationship Id="rId16" Type="http://schemas.openxmlformats.org/officeDocument/2006/relationships/hyperlink" Target="http://docs.aws.amazon.com/AWSCloudFormation/latest/UserGuide/aws-properties-ec2-security-group-rule.html" TargetMode="External"/><Relationship Id="rId20" Type="http://schemas.openxmlformats.org/officeDocument/2006/relationships/hyperlink" Target="http://docs.aws.amazon.com/AWSCloudFormation/latest/UserGuide/aws-properties-ec2-security-group-rule.html" TargetMode="External"/><Relationship Id="rId29" Type="http://schemas.openxmlformats.org/officeDocument/2006/relationships/hyperlink" Target="http://docs.aws.amazon.com/AWSCloudFormation/latest/UserGuide/aws-properties-ec2-security-group-rule.html" TargetMode="External"/><Relationship Id="rId41" Type="http://schemas.openxmlformats.org/officeDocument/2006/relationships/hyperlink" Target="http://docs.aws.amazon.com/AWSCloudFormation/latest/UserGuide/aws-properties-ec2-security-group-rule.html" TargetMode="External"/><Relationship Id="rId1" Type="http://schemas.openxmlformats.org/officeDocument/2006/relationships/hyperlink" Target="http://docs.aws.amazon.com/AWSCloudFormation/latest/UserGuide/aws-properties-ec2-security-group.html" TargetMode="External"/><Relationship Id="rId6" Type="http://schemas.openxmlformats.org/officeDocument/2006/relationships/hyperlink" Target="http://docs.aws.amazon.com/AWSCloudFormation/latest/UserGuide/aws-properties-ec2-security-group-rule.html" TargetMode="External"/><Relationship Id="rId11" Type="http://schemas.openxmlformats.org/officeDocument/2006/relationships/hyperlink" Target="http://docs.aws.amazon.com/AWSCloudFormation/latest/UserGuide/aws-properties-ec2-security-group-rule.html" TargetMode="External"/><Relationship Id="rId24" Type="http://schemas.openxmlformats.org/officeDocument/2006/relationships/hyperlink" Target="http://docs.aws.amazon.com/AWSCloudFormation/latest/UserGuide/aws-properties-ec2-security-group-rule.html" TargetMode="External"/><Relationship Id="rId32" Type="http://schemas.openxmlformats.org/officeDocument/2006/relationships/hyperlink" Target="http://docs.aws.amazon.com/AWSCloudFormation/latest/UserGuide/aws-properties-ec2-security-group-rule.html" TargetMode="External"/><Relationship Id="rId37" Type="http://schemas.openxmlformats.org/officeDocument/2006/relationships/hyperlink" Target="http://docs.aws.amazon.com/AWSCloudFormation/latest/UserGuide/aws-properties-ec2-security-group-rule.html" TargetMode="External"/><Relationship Id="rId40" Type="http://schemas.openxmlformats.org/officeDocument/2006/relationships/hyperlink" Target="http://docs.aws.amazon.com/AWSCloudFormation/latest/UserGuide/aws-properties-ec2-security-group-rule.html" TargetMode="External"/><Relationship Id="rId45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security-group-rule.html" TargetMode="External"/><Relationship Id="rId15" Type="http://schemas.openxmlformats.org/officeDocument/2006/relationships/hyperlink" Target="http://docs.aws.amazon.com/AWSCloudFormation/latest/UserGuide/aws-properties-ec2-security-group-rule.html" TargetMode="External"/><Relationship Id="rId23" Type="http://schemas.openxmlformats.org/officeDocument/2006/relationships/hyperlink" Target="http://docs.aws.amazon.com/AWSCloudFormation/latest/UserGuide/aws-properties-ec2-security-group-rule.html" TargetMode="External"/><Relationship Id="rId28" Type="http://schemas.openxmlformats.org/officeDocument/2006/relationships/hyperlink" Target="http://docs.aws.amazon.com/AWSCloudFormation/latest/UserGuide/aws-properties-ec2-security-group-rule.html" TargetMode="External"/><Relationship Id="rId36" Type="http://schemas.openxmlformats.org/officeDocument/2006/relationships/hyperlink" Target="http://docs.aws.amazon.com/AWSCloudFormation/latest/UserGuide/aws-properties-ec2-security-group-rule.html" TargetMode="External"/><Relationship Id="rId10" Type="http://schemas.openxmlformats.org/officeDocument/2006/relationships/hyperlink" Target="http://docs.aws.amazon.com/AWSCloudFormation/latest/UserGuide/aws-properties-ec2-security-group-rule.html" TargetMode="External"/><Relationship Id="rId19" Type="http://schemas.openxmlformats.org/officeDocument/2006/relationships/hyperlink" Target="http://docs.aws.amazon.com/AWSCloudFormation/latest/UserGuide/aws-properties-ec2-security-group-rule.html" TargetMode="External"/><Relationship Id="rId31" Type="http://schemas.openxmlformats.org/officeDocument/2006/relationships/hyperlink" Target="http://docs.aws.amazon.com/AWSCloudFormation/latest/UserGuide/aws-properties-ec2-security-group-rule.html" TargetMode="External"/><Relationship Id="rId44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security-group.html" TargetMode="External"/><Relationship Id="rId9" Type="http://schemas.openxmlformats.org/officeDocument/2006/relationships/hyperlink" Target="http://docs.aws.amazon.com/AWSCloudFormation/latest/UserGuide/aws-properties-ec2-security-group-rule.html" TargetMode="External"/><Relationship Id="rId14" Type="http://schemas.openxmlformats.org/officeDocument/2006/relationships/hyperlink" Target="http://docs.aws.amazon.com/AWSCloudFormation/latest/UserGuide/aws-properties-ec2-security-group-rule.html" TargetMode="External"/><Relationship Id="rId22" Type="http://schemas.openxmlformats.org/officeDocument/2006/relationships/hyperlink" Target="http://docs.aws.amazon.com/AWSCloudFormation/latest/UserGuide/aws-properties-ec2-security-group-rule.html" TargetMode="External"/><Relationship Id="rId27" Type="http://schemas.openxmlformats.org/officeDocument/2006/relationships/hyperlink" Target="http://docs.aws.amazon.com/AWSCloudFormation/latest/UserGuide/aws-properties-ec2-security-group-rule.html" TargetMode="External"/><Relationship Id="rId30" Type="http://schemas.openxmlformats.org/officeDocument/2006/relationships/hyperlink" Target="http://docs.aws.amazon.com/AWSCloudFormation/latest/UserGuide/aws-properties-ec2-security-group-rule.html" TargetMode="External"/><Relationship Id="rId35" Type="http://schemas.openxmlformats.org/officeDocument/2006/relationships/hyperlink" Target="http://docs.aws.amazon.com/AWSCloudFormation/latest/UserGuide/aws-properties-ec2-security-group-rule.html" TargetMode="External"/><Relationship Id="rId43" Type="http://schemas.openxmlformats.org/officeDocument/2006/relationships/hyperlink" Target="http://docs.aws.amazon.com/AWSCloudFormation/latest/UserGuide/aws-properties-resource-tag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E151"/>
  <sheetViews>
    <sheetView zoomScaleNormal="100" workbookViewId="0">
      <selection activeCell="B7" sqref="B7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1" spans="2:31">
      <c r="B1" t="s">
        <v>137</v>
      </c>
    </row>
    <row r="2" spans="2:31">
      <c r="D2" t="s">
        <v>111</v>
      </c>
    </row>
    <row r="3" spans="2:31">
      <c r="D3" t="s">
        <v>110</v>
      </c>
      <c r="O3" t="s">
        <v>88</v>
      </c>
      <c r="AB3" t="s">
        <v>86</v>
      </c>
    </row>
    <row r="4" spans="2:31">
      <c r="D4" t="s">
        <v>109</v>
      </c>
      <c r="N4" s="7" t="s">
        <v>82</v>
      </c>
      <c r="O4" s="7" t="s">
        <v>90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 t="s">
        <v>84</v>
      </c>
      <c r="AC4" s="7" t="s">
        <v>133</v>
      </c>
      <c r="AD4" s="7" t="s">
        <v>134</v>
      </c>
      <c r="AE4" s="7" t="s">
        <v>85</v>
      </c>
    </row>
    <row r="5" spans="2:31">
      <c r="B5" s="7" t="s">
        <v>87</v>
      </c>
      <c r="N5" s="6">
        <f>ROW()-4</f>
        <v>1</v>
      </c>
      <c r="P5" s="1" t="s">
        <v>80</v>
      </c>
      <c r="Q5" s="1"/>
      <c r="R5" s="1"/>
      <c r="S5" s="1"/>
      <c r="T5" s="1"/>
      <c r="U5" s="1"/>
      <c r="V5" s="1"/>
      <c r="W5" s="1"/>
      <c r="X5" s="1"/>
      <c r="Y5" s="1"/>
      <c r="Z5" s="1" t="s">
        <v>81</v>
      </c>
      <c r="AA5" s="1" t="s">
        <v>83</v>
      </c>
      <c r="AB5" s="1"/>
      <c r="AC5" s="1"/>
      <c r="AD5" s="1"/>
      <c r="AE5" s="1"/>
    </row>
    <row r="6" spans="2:31">
      <c r="B6" s="6" t="s">
        <v>256</v>
      </c>
      <c r="D6" t="s">
        <v>108</v>
      </c>
      <c r="N6" s="6">
        <f t="shared" ref="N6:N68" si="0">ROW()-4</f>
        <v>2</v>
      </c>
      <c r="P6" s="1"/>
      <c r="Q6" t="s">
        <v>3</v>
      </c>
    </row>
    <row r="7" spans="2:31">
      <c r="B7" s="10"/>
      <c r="D7" t="s">
        <v>91</v>
      </c>
      <c r="N7" s="6">
        <f t="shared" si="0"/>
        <v>3</v>
      </c>
      <c r="P7" s="1"/>
      <c r="Q7" t="s">
        <v>89</v>
      </c>
    </row>
    <row r="8" spans="2:31">
      <c r="B8" s="7" t="s">
        <v>136</v>
      </c>
      <c r="D8" t="s">
        <v>92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9" t="s">
        <v>226</v>
      </c>
      <c r="N9" s="6">
        <f t="shared" si="0"/>
        <v>5</v>
      </c>
      <c r="P9" s="1"/>
      <c r="Q9" s="2"/>
      <c r="R9" t="s">
        <v>4</v>
      </c>
    </row>
    <row r="10" spans="2:31">
      <c r="D10" t="s">
        <v>97</v>
      </c>
      <c r="N10" s="6">
        <f t="shared" si="0"/>
        <v>6</v>
      </c>
      <c r="P10" s="1"/>
      <c r="Q10" s="2"/>
      <c r="R10" t="s">
        <v>5</v>
      </c>
    </row>
    <row r="11" spans="2:31">
      <c r="B11" s="7" t="s">
        <v>0</v>
      </c>
      <c r="D11" t="s">
        <v>94</v>
      </c>
      <c r="N11" s="6">
        <f t="shared" si="0"/>
        <v>7</v>
      </c>
      <c r="P11" s="1"/>
      <c r="Q11" s="2"/>
      <c r="R11" t="s">
        <v>6</v>
      </c>
    </row>
    <row r="12" spans="2:31">
      <c r="B12" s="9" t="s">
        <v>114</v>
      </c>
      <c r="D12" t="s">
        <v>95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9" t="s">
        <v>115</v>
      </c>
      <c r="D13" t="s">
        <v>96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9" t="s">
        <v>116</v>
      </c>
      <c r="D14" t="s">
        <v>98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9" t="s">
        <v>195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9" t="s">
        <v>196</v>
      </c>
      <c r="D16" t="s">
        <v>100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9" t="s">
        <v>117</v>
      </c>
      <c r="D17" t="s">
        <v>99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9" t="s">
        <v>118</v>
      </c>
      <c r="D18" t="s">
        <v>104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9" t="s">
        <v>119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9" t="s">
        <v>120</v>
      </c>
      <c r="D20" t="s">
        <v>102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9" t="s">
        <v>122</v>
      </c>
      <c r="D21" t="s">
        <v>101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9" t="s">
        <v>123</v>
      </c>
      <c r="D22" t="s">
        <v>103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9" t="s">
        <v>124</v>
      </c>
      <c r="D23" t="s">
        <v>105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9" t="s">
        <v>121</v>
      </c>
      <c r="D24" t="s">
        <v>106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9" t="s">
        <v>194</v>
      </c>
      <c r="D25" t="s">
        <v>107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9" t="s">
        <v>193</v>
      </c>
      <c r="D26" t="s">
        <v>93</v>
      </c>
      <c r="N26" s="6">
        <f t="shared" si="0"/>
        <v>22</v>
      </c>
      <c r="P26" s="1"/>
      <c r="Q26" s="2"/>
      <c r="U26" t="s">
        <v>10</v>
      </c>
    </row>
    <row r="27" spans="2:21">
      <c r="B27" s="9" t="s">
        <v>198</v>
      </c>
      <c r="N27" s="6">
        <f t="shared" si="0"/>
        <v>23</v>
      </c>
      <c r="P27" s="1"/>
      <c r="U27" t="s">
        <v>11</v>
      </c>
    </row>
    <row r="28" spans="2:21">
      <c r="B28" s="9" t="s">
        <v>199</v>
      </c>
      <c r="N28" s="6">
        <f t="shared" si="0"/>
        <v>24</v>
      </c>
      <c r="U28" t="s">
        <v>12</v>
      </c>
    </row>
    <row r="29" spans="2:21">
      <c r="B29" s="9" t="s">
        <v>200</v>
      </c>
      <c r="N29" s="6">
        <f t="shared" si="0"/>
        <v>25</v>
      </c>
      <c r="U29" t="s">
        <v>13</v>
      </c>
    </row>
    <row r="30" spans="2:21">
      <c r="B30" s="9" t="s">
        <v>197</v>
      </c>
    </row>
    <row r="31" spans="2:21">
      <c r="B31" s="9" t="s">
        <v>192</v>
      </c>
      <c r="N31" s="6">
        <f t="shared" si="0"/>
        <v>27</v>
      </c>
      <c r="U31" t="s">
        <v>15</v>
      </c>
    </row>
    <row r="32" spans="2:21">
      <c r="B32" s="9"/>
      <c r="N32" s="6">
        <f t="shared" si="0"/>
        <v>28</v>
      </c>
      <c r="U32" t="s">
        <v>16</v>
      </c>
    </row>
    <row r="33" spans="2:21">
      <c r="B33" s="9"/>
      <c r="N33" s="6">
        <f t="shared" si="0"/>
        <v>29</v>
      </c>
      <c r="U33" t="s">
        <v>17</v>
      </c>
    </row>
    <row r="34" spans="2:21">
      <c r="B34" s="9"/>
      <c r="N34" s="6">
        <f t="shared" si="0"/>
        <v>30</v>
      </c>
      <c r="T34" t="s">
        <v>18</v>
      </c>
    </row>
    <row r="35" spans="2:21">
      <c r="B35" s="9"/>
      <c r="N35" s="6">
        <f t="shared" si="0"/>
        <v>31</v>
      </c>
      <c r="U35" t="s">
        <v>14</v>
      </c>
    </row>
    <row r="36" spans="2:21">
      <c r="B36" s="9"/>
      <c r="N36" s="6">
        <f t="shared" si="0"/>
        <v>32</v>
      </c>
      <c r="S36" t="s">
        <v>19</v>
      </c>
    </row>
    <row r="37" spans="2:21">
      <c r="B37" s="9"/>
      <c r="N37" s="6">
        <f t="shared" si="0"/>
        <v>33</v>
      </c>
      <c r="R37" t="s">
        <v>20</v>
      </c>
    </row>
    <row r="38" spans="2:21">
      <c r="B38" s="9"/>
      <c r="N38" s="6">
        <f t="shared" si="0"/>
        <v>34</v>
      </c>
      <c r="S38" t="s">
        <v>21</v>
      </c>
    </row>
    <row r="39" spans="2:21">
      <c r="B39" s="9"/>
      <c r="N39" s="6">
        <f t="shared" si="0"/>
        <v>35</v>
      </c>
      <c r="R39" t="s">
        <v>22</v>
      </c>
    </row>
    <row r="40" spans="2:21">
      <c r="B40" s="9"/>
      <c r="N40" s="6">
        <f t="shared" si="0"/>
        <v>36</v>
      </c>
      <c r="R40" t="s">
        <v>23</v>
      </c>
    </row>
    <row r="41" spans="2:21">
      <c r="B41" s="9"/>
      <c r="N41" s="6">
        <f t="shared" si="0"/>
        <v>37</v>
      </c>
      <c r="R41" t="s">
        <v>24</v>
      </c>
    </row>
    <row r="42" spans="2:21">
      <c r="B42" s="9"/>
      <c r="N42" s="6">
        <f t="shared" si="0"/>
        <v>38</v>
      </c>
      <c r="S42" t="s">
        <v>25</v>
      </c>
    </row>
    <row r="43" spans="2:21">
      <c r="B43" s="9"/>
      <c r="N43" s="6">
        <f t="shared" si="0"/>
        <v>39</v>
      </c>
      <c r="S43" t="s">
        <v>25</v>
      </c>
    </row>
    <row r="44" spans="2:21">
      <c r="B44" s="9"/>
      <c r="N44" s="6">
        <f t="shared" si="0"/>
        <v>40</v>
      </c>
      <c r="R44" t="s">
        <v>26</v>
      </c>
    </row>
    <row r="45" spans="2:21">
      <c r="B45" s="9"/>
      <c r="N45" s="6">
        <f t="shared" si="0"/>
        <v>41</v>
      </c>
      <c r="S45" t="e">
        <f>- Count: Integer</f>
        <v>#NAME?</v>
      </c>
    </row>
    <row r="46" spans="2:21">
      <c r="B46" s="9"/>
      <c r="N46" s="6">
        <f t="shared" si="0"/>
        <v>42</v>
      </c>
      <c r="T46" t="s">
        <v>27</v>
      </c>
    </row>
    <row r="47" spans="2:21">
      <c r="B47" s="9"/>
      <c r="N47" s="6">
        <f t="shared" si="0"/>
        <v>43</v>
      </c>
      <c r="S47" t="e">
        <f>- Count: Integer</f>
        <v>#NAME?</v>
      </c>
    </row>
    <row r="48" spans="2:21">
      <c r="B48" s="9"/>
      <c r="N48" s="6">
        <f t="shared" si="0"/>
        <v>44</v>
      </c>
      <c r="T48" t="s">
        <v>27</v>
      </c>
    </row>
    <row r="49" spans="2:19">
      <c r="B49" s="9"/>
      <c r="N49" s="6">
        <f t="shared" si="0"/>
        <v>45</v>
      </c>
      <c r="R49" t="s">
        <v>28</v>
      </c>
    </row>
    <row r="50" spans="2:19">
      <c r="B50" s="9"/>
      <c r="N50" s="6">
        <f t="shared" si="0"/>
        <v>46</v>
      </c>
      <c r="S50" t="s">
        <v>29</v>
      </c>
    </row>
    <row r="51" spans="2:19">
      <c r="B51" s="9"/>
      <c r="N51" s="6">
        <f t="shared" si="0"/>
        <v>47</v>
      </c>
      <c r="R51" t="s">
        <v>30</v>
      </c>
    </row>
    <row r="52" spans="2:19">
      <c r="B52" s="9"/>
      <c r="N52" s="6">
        <f t="shared" si="0"/>
        <v>48</v>
      </c>
      <c r="R52" t="s">
        <v>31</v>
      </c>
    </row>
    <row r="53" spans="2:19">
      <c r="N53" s="6">
        <f t="shared" si="0"/>
        <v>49</v>
      </c>
      <c r="R53" t="s">
        <v>32</v>
      </c>
    </row>
    <row r="54" spans="2:19">
      <c r="N54" s="6">
        <f t="shared" si="0"/>
        <v>50</v>
      </c>
      <c r="R54" t="s">
        <v>33</v>
      </c>
    </row>
    <row r="55" spans="2:19">
      <c r="N55" s="6">
        <f t="shared" si="0"/>
        <v>51</v>
      </c>
      <c r="R55" t="s">
        <v>34</v>
      </c>
    </row>
    <row r="56" spans="2:19">
      <c r="N56" s="6">
        <f t="shared" si="0"/>
        <v>52</v>
      </c>
      <c r="R56" t="s">
        <v>35</v>
      </c>
    </row>
    <row r="57" spans="2:19">
      <c r="N57" s="6">
        <f t="shared" si="0"/>
        <v>53</v>
      </c>
      <c r="R57" t="s">
        <v>36</v>
      </c>
    </row>
    <row r="58" spans="2:19">
      <c r="N58" s="6">
        <f t="shared" si="0"/>
        <v>54</v>
      </c>
      <c r="R58" t="s">
        <v>37</v>
      </c>
    </row>
    <row r="59" spans="2:19">
      <c r="N59" s="6">
        <f t="shared" si="0"/>
        <v>55</v>
      </c>
      <c r="S59" t="s">
        <v>38</v>
      </c>
    </row>
    <row r="60" spans="2:19">
      <c r="N60" s="6">
        <f t="shared" si="0"/>
        <v>56</v>
      </c>
      <c r="S60" t="s">
        <v>38</v>
      </c>
    </row>
    <row r="61" spans="2:19">
      <c r="N61" s="6">
        <f t="shared" si="0"/>
        <v>57</v>
      </c>
      <c r="R61" t="s">
        <v>39</v>
      </c>
    </row>
    <row r="62" spans="2:19">
      <c r="N62" s="6">
        <f t="shared" si="0"/>
        <v>58</v>
      </c>
      <c r="R62" t="s">
        <v>40</v>
      </c>
    </row>
    <row r="63" spans="2:19">
      <c r="N63" s="6">
        <f t="shared" si="0"/>
        <v>59</v>
      </c>
      <c r="R63" t="s">
        <v>41</v>
      </c>
    </row>
    <row r="64" spans="2:19">
      <c r="N64" s="6">
        <f t="shared" si="0"/>
        <v>60</v>
      </c>
      <c r="S64" t="s">
        <v>42</v>
      </c>
    </row>
    <row r="65" spans="14:21">
      <c r="N65" s="6">
        <f t="shared" si="0"/>
        <v>61</v>
      </c>
      <c r="S65" t="s">
        <v>43</v>
      </c>
    </row>
    <row r="66" spans="14:21">
      <c r="N66" s="6">
        <f t="shared" si="0"/>
        <v>62</v>
      </c>
      <c r="S66" t="s">
        <v>44</v>
      </c>
    </row>
    <row r="67" spans="14:21">
      <c r="N67" s="6">
        <f t="shared" si="0"/>
        <v>63</v>
      </c>
      <c r="R67" t="s">
        <v>45</v>
      </c>
    </row>
    <row r="68" spans="14:21">
      <c r="N68" s="6">
        <f t="shared" si="0"/>
        <v>64</v>
      </c>
      <c r="S68" t="s">
        <v>46</v>
      </c>
    </row>
    <row r="69" spans="14:21">
      <c r="N69" s="6">
        <f t="shared" ref="N69:N77" si="1">ROW()-4</f>
        <v>65</v>
      </c>
      <c r="S69" t="s">
        <v>46</v>
      </c>
    </row>
    <row r="70" spans="14:21">
      <c r="N70" s="6">
        <f t="shared" si="1"/>
        <v>66</v>
      </c>
      <c r="R70" t="s">
        <v>47</v>
      </c>
    </row>
    <row r="71" spans="14:21">
      <c r="N71" s="6">
        <f t="shared" si="1"/>
        <v>67</v>
      </c>
      <c r="R71" t="s">
        <v>48</v>
      </c>
    </row>
    <row r="72" spans="14:21">
      <c r="N72" s="6">
        <f t="shared" si="1"/>
        <v>68</v>
      </c>
      <c r="S72" t="e">
        <f>- DeleteOnTermination: Boolean</f>
        <v>#NAME?</v>
      </c>
    </row>
    <row r="73" spans="14:21">
      <c r="N73" s="6">
        <f t="shared" si="1"/>
        <v>69</v>
      </c>
      <c r="T73" t="s">
        <v>49</v>
      </c>
    </row>
    <row r="74" spans="14:21">
      <c r="N74" s="6">
        <f t="shared" si="1"/>
        <v>70</v>
      </c>
      <c r="T74" t="s">
        <v>50</v>
      </c>
    </row>
    <row r="75" spans="14:21">
      <c r="N75" s="6">
        <f t="shared" si="1"/>
        <v>71</v>
      </c>
      <c r="T75" t="s">
        <v>51</v>
      </c>
    </row>
    <row r="76" spans="14:21">
      <c r="N76" s="6">
        <f t="shared" si="1"/>
        <v>72</v>
      </c>
      <c r="T76" t="s">
        <v>52</v>
      </c>
    </row>
    <row r="77" spans="14:21">
      <c r="N77" s="6">
        <f t="shared" si="1"/>
        <v>73</v>
      </c>
      <c r="U77" t="s">
        <v>53</v>
      </c>
    </row>
    <row r="78" spans="14:21">
      <c r="U78" t="s">
        <v>53</v>
      </c>
    </row>
    <row r="79" spans="14:21">
      <c r="T79" t="s">
        <v>36</v>
      </c>
    </row>
    <row r="80" spans="14:21">
      <c r="T80" t="s">
        <v>37</v>
      </c>
    </row>
    <row r="81" spans="19:22">
      <c r="U81" t="s">
        <v>54</v>
      </c>
      <c r="V81" t="s">
        <v>55</v>
      </c>
    </row>
    <row r="82" spans="19:22">
      <c r="U82" t="s">
        <v>54</v>
      </c>
      <c r="V82" t="s">
        <v>55</v>
      </c>
    </row>
    <row r="83" spans="19:22">
      <c r="T83" t="s">
        <v>56</v>
      </c>
    </row>
    <row r="84" spans="19:22">
      <c r="T84" t="s">
        <v>57</v>
      </c>
    </row>
    <row r="85" spans="19:22">
      <c r="T85" t="s">
        <v>58</v>
      </c>
    </row>
    <row r="86" spans="19:22">
      <c r="U86" t="e">
        <f>- Primary: Boolean</f>
        <v>#NAME?</v>
      </c>
    </row>
    <row r="87" spans="19:22">
      <c r="V87" t="s">
        <v>57</v>
      </c>
    </row>
    <row r="88" spans="19:22">
      <c r="U88" t="e">
        <f>- Primary: Boolean</f>
        <v>#NAME?</v>
      </c>
    </row>
    <row r="89" spans="19:22">
      <c r="V89" t="s">
        <v>57</v>
      </c>
    </row>
    <row r="90" spans="19:22">
      <c r="T90" t="s">
        <v>59</v>
      </c>
    </row>
    <row r="91" spans="19:22">
      <c r="T91" t="s">
        <v>60</v>
      </c>
    </row>
    <row r="92" spans="19:22">
      <c r="S92" t="e">
        <f>- DeleteOnTermination: Boolean</f>
        <v>#NAME?</v>
      </c>
    </row>
    <row r="93" spans="19:22">
      <c r="T93" t="s">
        <v>49</v>
      </c>
    </row>
    <row r="94" spans="19:22">
      <c r="T94" t="s">
        <v>50</v>
      </c>
    </row>
    <row r="95" spans="19:22">
      <c r="T95" t="s">
        <v>51</v>
      </c>
    </row>
    <row r="96" spans="19:22">
      <c r="T96" t="s">
        <v>52</v>
      </c>
    </row>
    <row r="97" spans="18:22">
      <c r="U97" t="s">
        <v>53</v>
      </c>
    </row>
    <row r="98" spans="18:22">
      <c r="U98" t="s">
        <v>53</v>
      </c>
    </row>
    <row r="99" spans="18:22">
      <c r="T99" t="s">
        <v>36</v>
      </c>
    </row>
    <row r="100" spans="18:22">
      <c r="T100" t="s">
        <v>37</v>
      </c>
    </row>
    <row r="101" spans="18:22">
      <c r="U101" t="s">
        <v>54</v>
      </c>
      <c r="V101" t="s">
        <v>55</v>
      </c>
    </row>
    <row r="102" spans="18:22">
      <c r="U102" t="s">
        <v>54</v>
      </c>
      <c r="V102" t="s">
        <v>55</v>
      </c>
    </row>
    <row r="103" spans="18:22">
      <c r="T103" t="s">
        <v>56</v>
      </c>
    </row>
    <row r="104" spans="18:22">
      <c r="T104" t="s">
        <v>57</v>
      </c>
    </row>
    <row r="105" spans="18:22">
      <c r="T105" t="s">
        <v>58</v>
      </c>
    </row>
    <row r="106" spans="18:22">
      <c r="U106" t="e">
        <f>- Primary: Boolean</f>
        <v>#NAME?</v>
      </c>
    </row>
    <row r="107" spans="18:22">
      <c r="V107" t="s">
        <v>57</v>
      </c>
    </row>
    <row r="108" spans="18:22">
      <c r="U108" t="e">
        <f>- Primary: Boolean</f>
        <v>#NAME?</v>
      </c>
    </row>
    <row r="109" spans="18:22">
      <c r="V109" t="s">
        <v>57</v>
      </c>
    </row>
    <row r="110" spans="18:22">
      <c r="T110" t="s">
        <v>59</v>
      </c>
    </row>
    <row r="111" spans="18:22">
      <c r="T111" t="s">
        <v>60</v>
      </c>
    </row>
    <row r="112" spans="18:22">
      <c r="R112" t="s">
        <v>61</v>
      </c>
    </row>
    <row r="113" spans="18:21">
      <c r="R113" t="s">
        <v>57</v>
      </c>
    </row>
    <row r="114" spans="18:21">
      <c r="R114" t="s">
        <v>62</v>
      </c>
    </row>
    <row r="115" spans="18:21">
      <c r="R115" t="s">
        <v>63</v>
      </c>
    </row>
    <row r="116" spans="18:21">
      <c r="S116" t="s">
        <v>53</v>
      </c>
    </row>
    <row r="117" spans="18:21">
      <c r="S117" t="s">
        <v>53</v>
      </c>
    </row>
    <row r="118" spans="18:21">
      <c r="R118" t="s">
        <v>64</v>
      </c>
    </row>
    <row r="119" spans="18:21">
      <c r="S119" t="s">
        <v>53</v>
      </c>
    </row>
    <row r="120" spans="18:21">
      <c r="S120" t="s">
        <v>53</v>
      </c>
    </row>
    <row r="121" spans="18:21">
      <c r="R121" t="s">
        <v>65</v>
      </c>
    </row>
    <row r="122" spans="18:21">
      <c r="R122" t="s">
        <v>66</v>
      </c>
    </row>
    <row r="123" spans="18:21">
      <c r="S123" t="s">
        <v>67</v>
      </c>
    </row>
    <row r="124" spans="18:21">
      <c r="T124" t="s">
        <v>68</v>
      </c>
    </row>
    <row r="125" spans="18:21">
      <c r="T125" t="s">
        <v>69</v>
      </c>
    </row>
    <row r="126" spans="18:21">
      <c r="U126" t="s">
        <v>53</v>
      </c>
    </row>
    <row r="127" spans="18:21">
      <c r="U127" t="s">
        <v>53</v>
      </c>
    </row>
    <row r="128" spans="18:21">
      <c r="T128" t="s">
        <v>70</v>
      </c>
    </row>
    <row r="129" spans="18:21">
      <c r="S129" t="s">
        <v>67</v>
      </c>
    </row>
    <row r="130" spans="18:21">
      <c r="T130" t="s">
        <v>68</v>
      </c>
    </row>
    <row r="131" spans="18:21">
      <c r="T131" t="s">
        <v>69</v>
      </c>
    </row>
    <row r="132" spans="18:21">
      <c r="U132" t="s">
        <v>53</v>
      </c>
    </row>
    <row r="133" spans="18:21">
      <c r="U133" t="s">
        <v>53</v>
      </c>
    </row>
    <row r="134" spans="18:21">
      <c r="T134" t="s">
        <v>70</v>
      </c>
    </row>
    <row r="135" spans="18:21">
      <c r="R135" t="s">
        <v>60</v>
      </c>
    </row>
    <row r="136" spans="18:21">
      <c r="R136" t="s">
        <v>2</v>
      </c>
    </row>
    <row r="137" spans="18:21">
      <c r="R137" t="e">
        <f>- Key: Name</f>
        <v>#NAME?</v>
      </c>
    </row>
    <row r="138" spans="18:21">
      <c r="S138" t="s">
        <v>71</v>
      </c>
    </row>
    <row r="139" spans="18:21">
      <c r="R139" t="e">
        <f>- Key: CloudFormation File</f>
        <v>#NAME?</v>
      </c>
    </row>
    <row r="140" spans="18:21">
      <c r="S140" t="s">
        <v>72</v>
      </c>
    </row>
    <row r="141" spans="18:21">
      <c r="R141" t="s">
        <v>73</v>
      </c>
    </row>
    <row r="142" spans="18:21">
      <c r="S142" t="s">
        <v>74</v>
      </c>
    </row>
    <row r="143" spans="18:21">
      <c r="R143" t="s">
        <v>73</v>
      </c>
    </row>
    <row r="144" spans="18:21">
      <c r="S144" t="s">
        <v>74</v>
      </c>
    </row>
    <row r="145" spans="18:20">
      <c r="R145" t="s">
        <v>75</v>
      </c>
    </row>
    <row r="146" spans="18:20">
      <c r="R146" t="s">
        <v>76</v>
      </c>
    </row>
    <row r="147" spans="18:20">
      <c r="R147" t="s">
        <v>77</v>
      </c>
    </row>
    <row r="148" spans="18:20">
      <c r="R148" t="s">
        <v>78</v>
      </c>
    </row>
    <row r="149" spans="18:20">
      <c r="T149" t="s">
        <v>79</v>
      </c>
    </row>
    <row r="150" spans="18:20">
      <c r="R150" t="s">
        <v>78</v>
      </c>
    </row>
    <row r="151" spans="18:20">
      <c r="T151" t="s">
        <v>79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34"/>
  <sheetViews>
    <sheetView tabSelected="1" workbookViewId="0">
      <selection activeCell="O35" sqref="O35"/>
    </sheetView>
  </sheetViews>
  <sheetFormatPr defaultRowHeight="18.75"/>
  <cols>
    <col min="1" max="2" width="4.75" style="8" customWidth="1"/>
    <col min="3" max="3" width="22" style="8" bestFit="1" customWidth="1"/>
    <col min="4" max="4" width="19.875" style="8" customWidth="1"/>
    <col min="5" max="5" width="102.125" style="8" customWidth="1"/>
    <col min="6" max="16384" width="9" style="8"/>
  </cols>
  <sheetData>
    <row r="2" spans="3:5" hidden="1"/>
    <row r="3" spans="3:5" hidden="1"/>
    <row r="4" spans="3:5" hidden="1"/>
    <row r="5" spans="3:5" hidden="1"/>
    <row r="8" spans="3:5">
      <c r="C8" s="7" t="s">
        <v>125</v>
      </c>
      <c r="D8" s="7" t="s">
        <v>126</v>
      </c>
      <c r="E8" s="7" t="s">
        <v>127</v>
      </c>
    </row>
    <row r="9" spans="3:5" ht="93.75">
      <c r="C9" s="11" t="s">
        <v>135</v>
      </c>
      <c r="D9" s="12" t="s">
        <v>128</v>
      </c>
      <c r="E9" s="13" t="s">
        <v>129</v>
      </c>
    </row>
    <row r="10" spans="3:5">
      <c r="C10" s="9" t="s">
        <v>130</v>
      </c>
      <c r="D10" s="9" t="s">
        <v>257</v>
      </c>
      <c r="E10" s="9" t="s">
        <v>131</v>
      </c>
    </row>
    <row r="11" spans="3:5">
      <c r="C11" s="9" t="s">
        <v>132</v>
      </c>
      <c r="D11" s="9" t="s">
        <v>255</v>
      </c>
      <c r="E11" s="9"/>
    </row>
    <row r="12" spans="3:5">
      <c r="C12" s="9" t="s">
        <v>216</v>
      </c>
      <c r="D12" s="9" t="s">
        <v>255</v>
      </c>
      <c r="E12" s="9"/>
    </row>
    <row r="13" spans="3:5">
      <c r="C13" s="9" t="s">
        <v>217</v>
      </c>
      <c r="D13" s="9" t="s">
        <v>255</v>
      </c>
      <c r="E13" s="9"/>
    </row>
    <row r="14" spans="3:5">
      <c r="C14" s="9" t="s">
        <v>221</v>
      </c>
      <c r="D14" s="9" t="s">
        <v>255</v>
      </c>
      <c r="E14" s="9"/>
    </row>
    <row r="15" spans="3:5">
      <c r="C15" s="9" t="s">
        <v>218</v>
      </c>
      <c r="D15" s="9" t="s">
        <v>249</v>
      </c>
      <c r="E15" s="9"/>
    </row>
    <row r="16" spans="3:5">
      <c r="C16" s="9" t="s">
        <v>219</v>
      </c>
      <c r="D16" s="9" t="s">
        <v>250</v>
      </c>
      <c r="E16" s="9"/>
    </row>
    <row r="17" spans="3:5">
      <c r="C17" s="9" t="s">
        <v>222</v>
      </c>
      <c r="D17" s="9" t="s">
        <v>230</v>
      </c>
      <c r="E17" s="9"/>
    </row>
    <row r="18" spans="3:5">
      <c r="C18" s="9" t="s">
        <v>223</v>
      </c>
      <c r="D18" s="9" t="s">
        <v>231</v>
      </c>
      <c r="E18" s="9"/>
    </row>
    <row r="19" spans="3:5">
      <c r="C19" s="9" t="s">
        <v>220</v>
      </c>
      <c r="D19" s="9" t="s">
        <v>232</v>
      </c>
      <c r="E19" s="9"/>
    </row>
    <row r="20" spans="3:5">
      <c r="C20" s="9" t="s">
        <v>224</v>
      </c>
      <c r="D20" s="9" t="s">
        <v>233</v>
      </c>
      <c r="E20" s="9"/>
    </row>
    <row r="21" spans="3:5">
      <c r="C21" s="9" t="s">
        <v>225</v>
      </c>
      <c r="D21" s="9" t="s">
        <v>234</v>
      </c>
      <c r="E21" s="9"/>
    </row>
    <row r="22" spans="3:5">
      <c r="C22" s="9"/>
      <c r="D22" s="9"/>
      <c r="E22" s="9"/>
    </row>
    <row r="23" spans="3:5">
      <c r="C23" s="9"/>
      <c r="D23" s="9"/>
      <c r="E23" s="9"/>
    </row>
    <row r="24" spans="3:5">
      <c r="C24" s="9"/>
      <c r="D24" s="9"/>
      <c r="E24" s="9"/>
    </row>
    <row r="25" spans="3:5">
      <c r="C25" s="9"/>
      <c r="D25" s="9"/>
      <c r="E25" s="9"/>
    </row>
    <row r="26" spans="3:5">
      <c r="C26" s="9"/>
      <c r="D26" s="9"/>
      <c r="E26" s="9"/>
    </row>
    <row r="31" spans="3:5">
      <c r="D31" s="9" t="s">
        <v>245</v>
      </c>
    </row>
    <row r="32" spans="3:5">
      <c r="D32" s="9" t="s">
        <v>246</v>
      </c>
    </row>
    <row r="33" spans="4:4">
      <c r="D33" s="9" t="s">
        <v>247</v>
      </c>
    </row>
    <row r="34" spans="4:4">
      <c r="D34" s="9" t="s">
        <v>248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276225</xdr:colOff>
                    <xdr:row>0</xdr:row>
                    <xdr:rowOff>152400</xdr:rowOff>
                  </from>
                  <to>
                    <xdr:col>3</xdr:col>
                    <xdr:colOff>1047750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>
      <selection activeCell="C22" sqref="C22"/>
    </sheetView>
  </sheetViews>
  <sheetFormatPr defaultRowHeight="18.75"/>
  <cols>
    <col min="1" max="1" width="4" customWidth="1"/>
    <col min="2" max="2" width="45.625" bestFit="1" customWidth="1"/>
    <col min="3" max="3" width="44" bestFit="1" customWidth="1"/>
  </cols>
  <sheetData>
    <row r="2" spans="2:3">
      <c r="B2" s="7" t="s">
        <v>112</v>
      </c>
      <c r="C2" s="7" t="s">
        <v>113</v>
      </c>
    </row>
    <row r="3" spans="2:3">
      <c r="B3" s="6"/>
      <c r="C3" s="6"/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>
      <selection activeCell="B12" sqref="B12"/>
    </sheetView>
  </sheetViews>
  <sheetFormatPr defaultRowHeight="18.75"/>
  <cols>
    <col min="1" max="1" width="4" customWidth="1"/>
    <col min="2" max="2" width="45.625" bestFit="1" customWidth="1"/>
    <col min="3" max="3" width="44" bestFit="1" customWidth="1"/>
  </cols>
  <sheetData>
    <row r="2" spans="2:3">
      <c r="B2" s="7" t="s">
        <v>112</v>
      </c>
      <c r="C2" s="7" t="s">
        <v>113</v>
      </c>
    </row>
    <row r="3" spans="2:3">
      <c r="B3" s="6" t="s">
        <v>239</v>
      </c>
      <c r="C3" s="6" t="s">
        <v>258</v>
      </c>
    </row>
    <row r="4" spans="2:3">
      <c r="B4" s="6" t="s">
        <v>240</v>
      </c>
      <c r="C4" s="6" t="s">
        <v>259</v>
      </c>
    </row>
    <row r="5" spans="2:3">
      <c r="B5" s="6" t="s">
        <v>241</v>
      </c>
      <c r="C5" s="6" t="s">
        <v>260</v>
      </c>
    </row>
    <row r="6" spans="2:3">
      <c r="B6" s="6" t="s">
        <v>242</v>
      </c>
      <c r="C6" s="6" t="s">
        <v>261</v>
      </c>
    </row>
    <row r="7" spans="2:3">
      <c r="B7" s="6" t="s">
        <v>242</v>
      </c>
      <c r="C7" s="6" t="s">
        <v>262</v>
      </c>
    </row>
    <row r="8" spans="2:3">
      <c r="B8" s="6" t="s">
        <v>242</v>
      </c>
      <c r="C8" s="6" t="s">
        <v>263</v>
      </c>
    </row>
    <row r="9" spans="2:3">
      <c r="B9" s="6" t="s">
        <v>242</v>
      </c>
      <c r="C9" s="6" t="s">
        <v>264</v>
      </c>
    </row>
    <row r="10" spans="2:3">
      <c r="B10" s="6" t="s">
        <v>242</v>
      </c>
      <c r="C10" s="6" t="s">
        <v>265</v>
      </c>
    </row>
    <row r="11" spans="2:3">
      <c r="B11" s="6" t="s">
        <v>242</v>
      </c>
      <c r="C11" s="6" t="s">
        <v>266</v>
      </c>
    </row>
    <row r="12" spans="2:3">
      <c r="B12" s="6" t="s">
        <v>243</v>
      </c>
      <c r="C12" s="6" t="s">
        <v>267</v>
      </c>
    </row>
    <row r="13" spans="2:3">
      <c r="B13" s="6" t="s">
        <v>243</v>
      </c>
      <c r="C13" s="6" t="s">
        <v>268</v>
      </c>
    </row>
    <row r="14" spans="2:3">
      <c r="B14" s="6" t="s">
        <v>243</v>
      </c>
      <c r="C14" s="6" t="s">
        <v>269</v>
      </c>
    </row>
    <row r="15" spans="2:3">
      <c r="B15" s="6" t="s">
        <v>243</v>
      </c>
      <c r="C15" s="6" t="s">
        <v>270</v>
      </c>
    </row>
    <row r="16" spans="2:3">
      <c r="B16" s="6" t="s">
        <v>244</v>
      </c>
      <c r="C16" s="6" t="s">
        <v>271</v>
      </c>
    </row>
    <row r="17" spans="2:3">
      <c r="B17" s="6" t="s">
        <v>290</v>
      </c>
      <c r="C17" s="6" t="s">
        <v>293</v>
      </c>
    </row>
    <row r="18" spans="2:3">
      <c r="B18" s="6" t="s">
        <v>290</v>
      </c>
      <c r="C18" s="6" t="s">
        <v>291</v>
      </c>
    </row>
    <row r="19" spans="2:3">
      <c r="B19" s="6" t="s">
        <v>290</v>
      </c>
      <c r="C19" s="6" t="s">
        <v>292</v>
      </c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F8C81-2D14-4DEC-AF91-7B9080917080}">
  <dimension ref="A1:V14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138</v>
      </c>
    </row>
    <row r="2" spans="1:22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</row>
    <row r="3" spans="1:22">
      <c r="B3" s="26">
        <f t="shared" ref="B3:B14" si="0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</f>
        <v>mkayano2-VPC</v>
      </c>
    </row>
    <row r="4" spans="1:22">
      <c r="B4" s="26">
        <f t="shared" si="0"/>
        <v>2</v>
      </c>
      <c r="C4" s="17"/>
      <c r="D4" s="22"/>
      <c r="E4" s="29" t="s">
        <v>142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</row>
    <row r="5" spans="1:22">
      <c r="B5" s="26">
        <f t="shared" si="0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</row>
    <row r="6" spans="1:22">
      <c r="B6" s="26">
        <f t="shared" si="0"/>
        <v>4</v>
      </c>
      <c r="C6" s="17"/>
      <c r="D6" s="22"/>
      <c r="E6" s="18"/>
      <c r="F6" s="27" t="s">
        <v>145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 t="str">
        <f>Setting!$D$15</f>
        <v>192.168.0.0/24</v>
      </c>
    </row>
    <row r="7" spans="1:22">
      <c r="B7" s="26">
        <f t="shared" si="0"/>
        <v>5</v>
      </c>
      <c r="C7" s="17"/>
      <c r="D7" s="22"/>
      <c r="E7" s="18"/>
      <c r="F7" s="27" t="s">
        <v>146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147</v>
      </c>
      <c r="T7" s="28" t="s">
        <v>144</v>
      </c>
      <c r="U7" s="9"/>
      <c r="V7" s="37" t="s">
        <v>228</v>
      </c>
    </row>
    <row r="8" spans="1:22">
      <c r="B8" s="26">
        <f t="shared" si="0"/>
        <v>6</v>
      </c>
      <c r="C8" s="17"/>
      <c r="D8" s="22"/>
      <c r="E8" s="18"/>
      <c r="F8" s="27" t="s">
        <v>148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26" t="s">
        <v>147</v>
      </c>
      <c r="T8" s="28" t="s">
        <v>144</v>
      </c>
      <c r="U8" s="9"/>
      <c r="V8" s="37" t="s">
        <v>228</v>
      </c>
    </row>
    <row r="9" spans="1:22">
      <c r="B9" s="26">
        <f t="shared" si="0"/>
        <v>7</v>
      </c>
      <c r="C9" s="17"/>
      <c r="D9" s="22"/>
      <c r="E9" s="18"/>
      <c r="F9" s="27" t="s">
        <v>149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140</v>
      </c>
      <c r="T9" s="28" t="s">
        <v>144</v>
      </c>
      <c r="U9" s="9"/>
      <c r="V9" s="9" t="s">
        <v>229</v>
      </c>
    </row>
    <row r="10" spans="1:22">
      <c r="B10" s="26">
        <f t="shared" si="0"/>
        <v>8</v>
      </c>
      <c r="C10" s="17"/>
      <c r="D10" s="22"/>
      <c r="E10" s="18"/>
      <c r="F10" s="32" t="s">
        <v>2</v>
      </c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4"/>
      <c r="S10" s="33" t="s">
        <v>143</v>
      </c>
      <c r="T10" s="34" t="s">
        <v>144</v>
      </c>
      <c r="U10" s="25"/>
      <c r="V10" s="25"/>
    </row>
    <row r="11" spans="1:22">
      <c r="B11" s="26">
        <f t="shared" si="0"/>
        <v>9</v>
      </c>
      <c r="C11" s="17"/>
      <c r="D11" s="22"/>
      <c r="E11" s="18"/>
      <c r="F11" s="23"/>
      <c r="G11" s="36" t="s">
        <v>150</v>
      </c>
      <c r="H11" s="27" t="s">
        <v>151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26" t="s">
        <v>140</v>
      </c>
      <c r="T11" s="28" t="s">
        <v>144</v>
      </c>
      <c r="U11" s="9"/>
      <c r="V11" s="9"/>
    </row>
    <row r="12" spans="1:22">
      <c r="B12" s="26">
        <f t="shared" si="0"/>
        <v>10</v>
      </c>
      <c r="C12" s="17"/>
      <c r="D12" s="22"/>
      <c r="E12" s="18"/>
      <c r="F12" s="23"/>
      <c r="G12" s="15"/>
      <c r="H12" s="27" t="s">
        <v>69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26" t="s">
        <v>140</v>
      </c>
      <c r="T12" s="28" t="s">
        <v>144</v>
      </c>
      <c r="U12" s="9"/>
      <c r="V12" s="9"/>
    </row>
    <row r="13" spans="1:22">
      <c r="B13" s="26">
        <f t="shared" si="0"/>
        <v>11</v>
      </c>
      <c r="C13" s="17"/>
      <c r="D13" s="22"/>
      <c r="E13" s="18"/>
      <c r="F13" s="23"/>
      <c r="G13" s="36" t="s">
        <v>150</v>
      </c>
      <c r="H13" s="27" t="s">
        <v>151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26" t="s">
        <v>140</v>
      </c>
      <c r="T13" s="28" t="s">
        <v>144</v>
      </c>
      <c r="U13" s="9"/>
      <c r="V13" s="9"/>
    </row>
    <row r="14" spans="1:22">
      <c r="B14" s="26">
        <f t="shared" si="0"/>
        <v>12</v>
      </c>
      <c r="C14" s="17"/>
      <c r="D14" s="22"/>
      <c r="E14" s="18"/>
      <c r="F14" s="23"/>
      <c r="G14" s="15"/>
      <c r="H14" s="27" t="s">
        <v>69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26" t="s">
        <v>140</v>
      </c>
      <c r="T14" s="28" t="s">
        <v>144</v>
      </c>
      <c r="U14" s="9"/>
      <c r="V14" s="9"/>
    </row>
  </sheetData>
  <phoneticPr fontId="1"/>
  <hyperlinks>
    <hyperlink ref="T4" r:id="rId1" tooltip="http://docs.aws.amazon.com/AWSCloudFormation/latest/UserGuide/aws-resource-ec2-vpc.html" xr:uid="{0BB82293-DE0F-4460-89A0-3ACAB4CD193D}"/>
    <hyperlink ref="T6" r:id="rId2" location="cfn-aws-ec2-vpc-cidrblock" tooltip="http://docs.aws.amazon.com/AWSCloudFormation/latest/UserGuide/aws-resource-ec2-vpc.html#cfn-aws-ec2-vpc-cidrblock" xr:uid="{DEEE185E-94A9-4585-949B-F975BF02A034}"/>
    <hyperlink ref="T7" r:id="rId3" location="cfn-aws-ec2-vpc-EnableDnsHostnames" tooltip="http://docs.aws.amazon.com/AWSCloudFormation/latest/UserGuide/aws-resource-ec2-vpc.html#cfn-aws-ec2-vpc-EnableDnsHostnames" xr:uid="{EEFE2E9E-A419-4DBF-B3A8-432B5BE5D304}"/>
    <hyperlink ref="T8" r:id="rId4" location="cfn-aws-ec2-vpc-EnableDnsSupport" tooltip="http://docs.aws.amazon.com/AWSCloudFormation/latest/UserGuide/aws-resource-ec2-vpc.html#cfn-aws-ec2-vpc-EnableDnsSupport" xr:uid="{1A5A0624-C586-40BE-9253-02D3633FC1B8}"/>
    <hyperlink ref="T9" r:id="rId5" location="cfn-aws-ec2-vpc-instancetenancy" tooltip="http://docs.aws.amazon.com/AWSCloudFormation/latest/UserGuide/aws-resource-ec2-vpc.html#cfn-aws-ec2-vpc-instancetenancy" xr:uid="{AA698E8C-2C5A-4014-84D7-95B804499666}"/>
    <hyperlink ref="T10" r:id="rId6" location="cfn-aws-ec2-vpc-tags" tooltip="http://docs.aws.amazon.com/AWSCloudFormation/latest/UserGuide/aws-resource-ec2-vpc.html#cfn-aws-ec2-vpc-tags" xr:uid="{B90858B0-2B7D-4672-9D49-CBADB53E7158}"/>
    <hyperlink ref="T11" r:id="rId7" location="cfn-resource-tags-key" tooltip="http://docs.aws.amazon.com/AWSCloudFormation/latest/UserGuide/aws-properties-resource-tags.html#cfn-resource-tags-key" xr:uid="{D95C1476-90CD-4D4B-B001-29B15594B8E5}"/>
    <hyperlink ref="T12" r:id="rId8" location="cfn-resource-tags-value" tooltip="http://docs.aws.amazon.com/AWSCloudFormation/latest/UserGuide/aws-properties-resource-tags.html#cfn-resource-tags-value" xr:uid="{4970E3BB-053D-4F7D-824D-7C7CA32FADF2}"/>
    <hyperlink ref="T13" r:id="rId9" location="cfn-resource-tags-key" tooltip="http://docs.aws.amazon.com/AWSCloudFormation/latest/UserGuide/aws-properties-resource-tags.html#cfn-resource-tags-key" xr:uid="{DAB56E1B-5BE6-4639-BB3E-A147B7BEB48B}"/>
    <hyperlink ref="T14" r:id="rId10" location="cfn-resource-tags-value" tooltip="http://docs.aws.amazon.com/AWSCloudFormation/latest/UserGuide/aws-properties-resource-tags.html#cfn-resource-tags-value" xr:uid="{80752F54-58D1-4B3E-802B-94B10BC94F1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32775-4D60-4786-9BF4-A0755F128442}">
  <dimension ref="A1:V10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31.375" bestFit="1" customWidth="1"/>
  </cols>
  <sheetData>
    <row r="1" spans="1:22">
      <c r="A1" s="14" t="s">
        <v>138</v>
      </c>
    </row>
    <row r="2" spans="1:22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</row>
    <row r="3" spans="1:22">
      <c r="B3" s="26">
        <f t="shared" ref="B3:B10" si="0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</f>
        <v>mkayano2-InternetGateway</v>
      </c>
    </row>
    <row r="4" spans="1:22">
      <c r="B4" s="26">
        <f t="shared" si="0"/>
        <v>2</v>
      </c>
      <c r="C4" s="17"/>
      <c r="D4" s="22"/>
      <c r="E4" s="29" t="s">
        <v>201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</row>
    <row r="5" spans="1:22">
      <c r="B5" s="26">
        <f t="shared" si="0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</row>
    <row r="6" spans="1:22">
      <c r="B6" s="26">
        <f t="shared" si="0"/>
        <v>4</v>
      </c>
      <c r="C6" s="17"/>
      <c r="D6" s="22"/>
      <c r="E6" s="18"/>
      <c r="F6" s="32" t="s">
        <v>2</v>
      </c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4"/>
      <c r="S6" s="33" t="s">
        <v>143</v>
      </c>
      <c r="T6" s="34" t="s">
        <v>144</v>
      </c>
      <c r="U6" s="25"/>
      <c r="V6" s="25"/>
    </row>
    <row r="7" spans="1:22">
      <c r="B7" s="26">
        <f t="shared" si="0"/>
        <v>5</v>
      </c>
      <c r="C7" s="17"/>
      <c r="D7" s="22"/>
      <c r="E7" s="18"/>
      <c r="F7" s="23"/>
      <c r="G7" s="36" t="s">
        <v>150</v>
      </c>
      <c r="H7" s="27" t="s">
        <v>151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/>
    </row>
    <row r="8" spans="1:22">
      <c r="B8" s="26">
        <f t="shared" si="0"/>
        <v>6</v>
      </c>
      <c r="C8" s="17"/>
      <c r="D8" s="22"/>
      <c r="E8" s="18"/>
      <c r="F8" s="23"/>
      <c r="G8" s="15"/>
      <c r="H8" s="27" t="s">
        <v>69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26" t="s">
        <v>140</v>
      </c>
      <c r="T8" s="28" t="s">
        <v>144</v>
      </c>
      <c r="U8" s="9"/>
      <c r="V8" s="9"/>
    </row>
    <row r="9" spans="1:22">
      <c r="B9" s="26">
        <f t="shared" si="0"/>
        <v>7</v>
      </c>
      <c r="C9" s="17"/>
      <c r="D9" s="22"/>
      <c r="E9" s="18"/>
      <c r="F9" s="23"/>
      <c r="G9" s="36" t="s">
        <v>150</v>
      </c>
      <c r="H9" s="27" t="s">
        <v>151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140</v>
      </c>
      <c r="T9" s="28" t="s">
        <v>144</v>
      </c>
      <c r="U9" s="9"/>
      <c r="V9" s="9"/>
    </row>
    <row r="10" spans="1:22">
      <c r="B10" s="26">
        <f t="shared" si="0"/>
        <v>8</v>
      </c>
      <c r="C10" s="17"/>
      <c r="D10" s="22"/>
      <c r="E10" s="18"/>
      <c r="F10" s="23"/>
      <c r="G10" s="15"/>
      <c r="H10" s="27" t="s">
        <v>69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26" t="s">
        <v>140</v>
      </c>
      <c r="T10" s="28" t="s">
        <v>144</v>
      </c>
      <c r="U10" s="9"/>
      <c r="V10" s="9"/>
    </row>
  </sheetData>
  <phoneticPr fontId="1"/>
  <hyperlinks>
    <hyperlink ref="T4" r:id="rId1" tooltip="http://docs.aws.amazon.com/AWSCloudFormation/latest/UserGuide/aws-resource-ec2-internetgateway.html" xr:uid="{032B07A1-75AD-4918-BDEE-08DA72C2701E}"/>
    <hyperlink ref="T6" r:id="rId2" location="cfn-ec2-internetgateway-tags" tooltip="http://docs.aws.amazon.com/AWSCloudFormation/latest/UserGuide/aws-resource-ec2-internetgateway.html#cfn-ec2-internetgateway-tags" xr:uid="{B3E2AC87-4223-42D8-B887-531D6306ACB7}"/>
    <hyperlink ref="T7" r:id="rId3" location="cfn-resource-tags-key" tooltip="http://docs.aws.amazon.com/AWSCloudFormation/latest/UserGuide/aws-properties-resource-tags.html#cfn-resource-tags-key" xr:uid="{AB2DC861-14C4-41FC-BB3C-616585289FB1}"/>
    <hyperlink ref="T8" r:id="rId4" location="cfn-resource-tags-value" tooltip="http://docs.aws.amazon.com/AWSCloudFormation/latest/UserGuide/aws-properties-resource-tags.html#cfn-resource-tags-value" xr:uid="{66E6E16D-2563-4178-ADE5-0F0E726E80D0}"/>
    <hyperlink ref="T9" r:id="rId5" location="cfn-resource-tags-key" tooltip="http://docs.aws.amazon.com/AWSCloudFormation/latest/UserGuide/aws-properties-resource-tags.html#cfn-resource-tags-key" xr:uid="{B3609D1B-17D1-401B-A66C-26A582A8CFAB}"/>
    <hyperlink ref="T10" r:id="rId6" location="cfn-resource-tags-value" tooltip="http://docs.aws.amazon.com/AWSCloudFormation/latest/UserGuide/aws-properties-resource-tags.html#cfn-resource-tags-value" xr:uid="{36E7611A-9805-491D-A97D-4E839E8DF3B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C6198-F031-4A78-AF48-A0031CD87E77}">
  <dimension ref="A1:V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7" sqref="V7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41.5" bestFit="1" customWidth="1"/>
  </cols>
  <sheetData>
    <row r="1" spans="1:22">
      <c r="A1" s="14" t="s">
        <v>138</v>
      </c>
    </row>
    <row r="2" spans="1:22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</row>
    <row r="3" spans="1:22">
      <c r="B3" s="26">
        <f t="shared" ref="B3:B8" si="0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Setting!$D$10&amp;"-"&amp;RIGHT($E$4,LEN($E$4)-FIND(";",SUBSTITUTE($E$4,":",";",LEN($E$4)-LEN(SUBSTITUTE($E$4,":","")))))&amp;RIGHT("0"&amp;(COLUMN()-21),2)</f>
        <v>mkayano2-VPCGatewayAttachment01</v>
      </c>
    </row>
    <row r="4" spans="1:22">
      <c r="B4" s="26">
        <f t="shared" si="0"/>
        <v>2</v>
      </c>
      <c r="C4" s="17"/>
      <c r="D4" s="22"/>
      <c r="E4" s="29" t="s">
        <v>202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</row>
    <row r="5" spans="1:22">
      <c r="B5" s="26">
        <f t="shared" si="0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</row>
    <row r="6" spans="1:22">
      <c r="B6" s="26">
        <f t="shared" si="0"/>
        <v>4</v>
      </c>
      <c r="C6" s="17"/>
      <c r="D6" s="22"/>
      <c r="E6" s="18"/>
      <c r="F6" s="27" t="s">
        <v>156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 t="str">
        <f>InternetGateway!$V$3</f>
        <v>mkayano2-InternetGateway</v>
      </c>
    </row>
    <row r="7" spans="1:22">
      <c r="B7" s="26">
        <f t="shared" si="0"/>
        <v>5</v>
      </c>
      <c r="C7" s="17"/>
      <c r="D7" s="22"/>
      <c r="E7" s="18"/>
      <c r="F7" s="27" t="s">
        <v>157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 t="str">
        <f>VPC!$V$3</f>
        <v>mkayano2-VPC</v>
      </c>
    </row>
    <row r="8" spans="1:22">
      <c r="B8" s="26">
        <f t="shared" si="0"/>
        <v>6</v>
      </c>
      <c r="C8" s="17"/>
      <c r="D8" s="22"/>
      <c r="E8" s="18"/>
      <c r="F8" s="27" t="s">
        <v>158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26" t="s">
        <v>140</v>
      </c>
      <c r="T8" s="28" t="s">
        <v>144</v>
      </c>
      <c r="U8" s="9"/>
      <c r="V8" s="9"/>
    </row>
  </sheetData>
  <phoneticPr fontId="1"/>
  <hyperlinks>
    <hyperlink ref="T4" r:id="rId1" tooltip="http://docs.aws.amazon.com/AWSCloudFormation/latest/UserGuide/aws-resource-ec2-vpc-gateway-attachment.html" xr:uid="{6E16A73D-7A3A-48E8-9D54-A9A92432B063}"/>
    <hyperlink ref="T6" r:id="rId2" location="cfn-ec2-vpcgatewayattachment-internetgatewayid" tooltip="http://docs.aws.amazon.com/AWSCloudFormation/latest/UserGuide/aws-resource-ec2-vpc-gateway-attachment.html#cfn-ec2-vpcgatewayattachment-internetgatewayid" xr:uid="{D397110D-25EE-4DD8-A7DC-73CF2DD14801}"/>
    <hyperlink ref="T7" r:id="rId3" location="cfn-ec2-vpcgatewayattachment-vpcid" tooltip="http://docs.aws.amazon.com/AWSCloudFormation/latest/UserGuide/aws-resource-ec2-vpc-gateway-attachment.html#cfn-ec2-vpcgatewayattachment-vpcid" xr:uid="{438F4670-7320-4187-A637-6953F81BB2E5}"/>
    <hyperlink ref="T8" r:id="rId4" location="cfn-ec2-vpcgatewayattachment-vpngatewayid" tooltip="http://docs.aws.amazon.com/AWSCloudFormation/latest/UserGuide/aws-resource-ec2-vpc-gateway-attachment.html#cfn-ec2-vpcgatewayattachment-vpngatewayid" xr:uid="{60DA1014-2018-4B51-BED2-21797AF50EDD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8CAC7-C3F5-42BF-B04E-88C6701DC475}">
  <dimension ref="A1:V2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R17" sqref="R17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39" bestFit="1" customWidth="1"/>
  </cols>
  <sheetData>
    <row r="1" spans="1:22">
      <c r="A1" s="14" t="s">
        <v>138</v>
      </c>
    </row>
    <row r="2" spans="1:22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</row>
    <row r="3" spans="1:22">
      <c r="B3" s="26">
        <f t="shared" ref="B3:B21" si="0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</f>
        <v>mkayano2-DHCPOptions</v>
      </c>
    </row>
    <row r="4" spans="1:22">
      <c r="B4" s="26">
        <f t="shared" si="0"/>
        <v>2</v>
      </c>
      <c r="C4" s="17"/>
      <c r="D4" s="22"/>
      <c r="E4" s="29" t="s">
        <v>203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</row>
    <row r="5" spans="1:22">
      <c r="B5" s="26">
        <f t="shared" si="0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</row>
    <row r="6" spans="1:22">
      <c r="B6" s="26">
        <f t="shared" si="0"/>
        <v>4</v>
      </c>
      <c r="C6" s="17"/>
      <c r="D6" s="22"/>
      <c r="E6" s="18"/>
      <c r="F6" s="27" t="s">
        <v>204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 t="s">
        <v>251</v>
      </c>
    </row>
    <row r="7" spans="1:22">
      <c r="B7" s="26">
        <f t="shared" si="0"/>
        <v>5</v>
      </c>
      <c r="C7" s="17"/>
      <c r="D7" s="22"/>
      <c r="E7" s="18"/>
      <c r="F7" s="32" t="s">
        <v>205</v>
      </c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4"/>
      <c r="S7" s="33" t="s">
        <v>143</v>
      </c>
      <c r="T7" s="34" t="s">
        <v>144</v>
      </c>
      <c r="U7" s="25"/>
      <c r="V7" s="25"/>
    </row>
    <row r="8" spans="1:22">
      <c r="B8" s="26">
        <f t="shared" si="0"/>
        <v>6</v>
      </c>
      <c r="C8" s="17"/>
      <c r="D8" s="22"/>
      <c r="E8" s="18"/>
      <c r="F8" s="23"/>
      <c r="G8" s="36" t="s">
        <v>150</v>
      </c>
      <c r="H8" s="35" t="s">
        <v>143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26" t="s">
        <v>140</v>
      </c>
      <c r="T8" s="9"/>
      <c r="U8" s="9"/>
      <c r="V8" s="9" t="s">
        <v>235</v>
      </c>
    </row>
    <row r="9" spans="1:22">
      <c r="B9" s="26">
        <f t="shared" si="0"/>
        <v>7</v>
      </c>
      <c r="C9" s="17"/>
      <c r="D9" s="22"/>
      <c r="E9" s="18"/>
      <c r="F9" s="23"/>
      <c r="G9" s="36" t="s">
        <v>150</v>
      </c>
      <c r="H9" s="35" t="s">
        <v>143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140</v>
      </c>
      <c r="T9" s="9"/>
      <c r="U9" s="9"/>
      <c r="V9" s="9"/>
    </row>
    <row r="10" spans="1:22">
      <c r="B10" s="26">
        <f t="shared" si="0"/>
        <v>8</v>
      </c>
      <c r="C10" s="17"/>
      <c r="D10" s="22"/>
      <c r="E10" s="18"/>
      <c r="F10" s="32" t="s">
        <v>206</v>
      </c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4"/>
      <c r="S10" s="33" t="s">
        <v>143</v>
      </c>
      <c r="T10" s="34" t="s">
        <v>144</v>
      </c>
      <c r="U10" s="25"/>
      <c r="V10" s="25"/>
    </row>
    <row r="11" spans="1:22">
      <c r="B11" s="26">
        <f t="shared" si="0"/>
        <v>9</v>
      </c>
      <c r="C11" s="17"/>
      <c r="D11" s="22"/>
      <c r="E11" s="18"/>
      <c r="F11" s="23"/>
      <c r="G11" s="36" t="s">
        <v>150</v>
      </c>
      <c r="H11" s="35" t="s">
        <v>143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26" t="s">
        <v>140</v>
      </c>
      <c r="T11" s="9"/>
      <c r="U11" s="9"/>
      <c r="V11" s="9"/>
    </row>
    <row r="12" spans="1:22">
      <c r="B12" s="26">
        <f t="shared" si="0"/>
        <v>10</v>
      </c>
      <c r="C12" s="17"/>
      <c r="D12" s="22"/>
      <c r="E12" s="18"/>
      <c r="F12" s="23"/>
      <c r="G12" s="36" t="s">
        <v>150</v>
      </c>
      <c r="H12" s="35" t="s">
        <v>143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26" t="s">
        <v>140</v>
      </c>
      <c r="T12" s="9"/>
      <c r="U12" s="9"/>
      <c r="V12" s="9"/>
    </row>
    <row r="13" spans="1:22">
      <c r="B13" s="26">
        <f t="shared" si="0"/>
        <v>11</v>
      </c>
      <c r="C13" s="17"/>
      <c r="D13" s="22"/>
      <c r="E13" s="18"/>
      <c r="F13" s="27" t="s">
        <v>207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26" t="s">
        <v>159</v>
      </c>
      <c r="T13" s="28" t="s">
        <v>144</v>
      </c>
      <c r="U13" s="9"/>
      <c r="V13" s="9"/>
    </row>
    <row r="14" spans="1:22">
      <c r="B14" s="26">
        <f t="shared" si="0"/>
        <v>12</v>
      </c>
      <c r="C14" s="17"/>
      <c r="D14" s="22"/>
      <c r="E14" s="18"/>
      <c r="F14" s="32" t="s">
        <v>208</v>
      </c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4"/>
      <c r="S14" s="33" t="s">
        <v>143</v>
      </c>
      <c r="T14" s="34" t="s">
        <v>144</v>
      </c>
      <c r="U14" s="25"/>
      <c r="V14" s="25"/>
    </row>
    <row r="15" spans="1:22">
      <c r="B15" s="26">
        <f t="shared" si="0"/>
        <v>13</v>
      </c>
      <c r="C15" s="17"/>
      <c r="D15" s="22"/>
      <c r="E15" s="18"/>
      <c r="F15" s="23"/>
      <c r="G15" s="36" t="s">
        <v>150</v>
      </c>
      <c r="H15" s="35" t="s">
        <v>143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26" t="s">
        <v>140</v>
      </c>
      <c r="T15" s="9"/>
      <c r="U15" s="9"/>
      <c r="V15" s="9"/>
    </row>
    <row r="16" spans="1:22">
      <c r="B16" s="26">
        <f t="shared" si="0"/>
        <v>14</v>
      </c>
      <c r="C16" s="17"/>
      <c r="D16" s="22"/>
      <c r="E16" s="18"/>
      <c r="F16" s="23"/>
      <c r="G16" s="36" t="s">
        <v>150</v>
      </c>
      <c r="H16" s="35" t="s">
        <v>143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26" t="s">
        <v>140</v>
      </c>
      <c r="T16" s="9"/>
      <c r="U16" s="9"/>
      <c r="V16" s="9"/>
    </row>
    <row r="17" spans="2:22">
      <c r="B17" s="26">
        <f t="shared" si="0"/>
        <v>15</v>
      </c>
      <c r="C17" s="17"/>
      <c r="D17" s="22"/>
      <c r="E17" s="18"/>
      <c r="F17" s="32" t="s">
        <v>2</v>
      </c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4"/>
      <c r="S17" s="33" t="s">
        <v>143</v>
      </c>
      <c r="T17" s="34" t="s">
        <v>144</v>
      </c>
      <c r="U17" s="25"/>
      <c r="V17" s="25"/>
    </row>
    <row r="18" spans="2:22">
      <c r="B18" s="26">
        <f t="shared" si="0"/>
        <v>16</v>
      </c>
      <c r="C18" s="17"/>
      <c r="D18" s="22"/>
      <c r="E18" s="18"/>
      <c r="F18" s="23"/>
      <c r="G18" s="36" t="s">
        <v>150</v>
      </c>
      <c r="H18" s="27" t="s">
        <v>151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26" t="s">
        <v>140</v>
      </c>
      <c r="T18" s="28" t="s">
        <v>144</v>
      </c>
      <c r="U18" s="9"/>
      <c r="V18" s="9"/>
    </row>
    <row r="19" spans="2:22">
      <c r="B19" s="26">
        <f t="shared" si="0"/>
        <v>17</v>
      </c>
      <c r="C19" s="17"/>
      <c r="D19" s="22"/>
      <c r="E19" s="18"/>
      <c r="F19" s="23"/>
      <c r="G19" s="15"/>
      <c r="H19" s="27" t="s">
        <v>69</v>
      </c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26" t="s">
        <v>140</v>
      </c>
      <c r="T19" s="28" t="s">
        <v>144</v>
      </c>
      <c r="U19" s="9"/>
      <c r="V19" s="9"/>
    </row>
    <row r="20" spans="2:22">
      <c r="B20" s="26">
        <f t="shared" si="0"/>
        <v>18</v>
      </c>
      <c r="C20" s="17"/>
      <c r="D20" s="22"/>
      <c r="E20" s="18"/>
      <c r="F20" s="23"/>
      <c r="G20" s="36" t="s">
        <v>150</v>
      </c>
      <c r="H20" s="27" t="s">
        <v>151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26" t="s">
        <v>140</v>
      </c>
      <c r="T20" s="28" t="s">
        <v>144</v>
      </c>
      <c r="U20" s="9"/>
      <c r="V20" s="9"/>
    </row>
    <row r="21" spans="2:22">
      <c r="B21" s="26">
        <f t="shared" si="0"/>
        <v>19</v>
      </c>
      <c r="C21" s="17"/>
      <c r="D21" s="22"/>
      <c r="E21" s="18"/>
      <c r="F21" s="23"/>
      <c r="G21" s="15"/>
      <c r="H21" s="27" t="s">
        <v>69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26" t="s">
        <v>140</v>
      </c>
      <c r="T21" s="28" t="s">
        <v>144</v>
      </c>
      <c r="U21" s="9"/>
      <c r="V21" s="9"/>
    </row>
  </sheetData>
  <phoneticPr fontId="1"/>
  <hyperlinks>
    <hyperlink ref="T4" r:id="rId1" tooltip="http://docs.aws.amazon.com/AWSCloudFormation/latest/UserGuide/aws-resource-ec2-dhcp-options.html" xr:uid="{4FB4A660-F1D8-41CF-8F0C-5527F86D6DAE}"/>
    <hyperlink ref="T6" r:id="rId2" location="cfn-ec2-dhcpoptions-domainname" tooltip="http://docs.aws.amazon.com/AWSCloudFormation/latest/UserGuide/aws-resource-ec2-dhcp-options.html#cfn-ec2-dhcpoptions-domainname" xr:uid="{31A7C4F6-3854-492D-90A9-AC774D1852AF}"/>
    <hyperlink ref="T7" r:id="rId3" location="cfn-ec2-dhcpoptions-domainnameservers" tooltip="http://docs.aws.amazon.com/AWSCloudFormation/latest/UserGuide/aws-resource-ec2-dhcp-options.html#cfn-ec2-dhcpoptions-domainnameservers" xr:uid="{C2DB0D39-587C-4B23-A3EA-227DCB8EEB17}"/>
    <hyperlink ref="T10" r:id="rId4" location="cfn-ec2-dhcpoptions-netbiosnameservers" tooltip="http://docs.aws.amazon.com/AWSCloudFormation/latest/UserGuide/aws-resource-ec2-dhcp-options.html#cfn-ec2-dhcpoptions-netbiosnameservers" xr:uid="{602FB4AF-CF85-4978-95A4-7F2E8F93A009}"/>
    <hyperlink ref="T13" r:id="rId5" location="cfn-ec2-dhcpoptions-netbiosnodetype" tooltip="http://docs.aws.amazon.com/AWSCloudFormation/latest/UserGuide/aws-resource-ec2-dhcp-options.html#cfn-ec2-dhcpoptions-netbiosnodetype" xr:uid="{52DBACF3-D9ED-4806-BB03-07A9FFEF194A}"/>
    <hyperlink ref="T14" r:id="rId6" location="cfn-ec2-dhcpoptions-ntpservers" tooltip="http://docs.aws.amazon.com/AWSCloudFormation/latest/UserGuide/aws-resource-ec2-dhcp-options.html#cfn-ec2-dhcpoptions-ntpservers" xr:uid="{9BB7D7F1-9B10-4707-9B95-C69EA8BF897C}"/>
    <hyperlink ref="T17" r:id="rId7" location="cfn-ec2-dhcpoptions-tags" tooltip="http://docs.aws.amazon.com/AWSCloudFormation/latest/UserGuide/aws-resource-ec2-dhcp-options.html#cfn-ec2-dhcpoptions-tags" xr:uid="{6B5D80CF-0A7C-4165-BBBA-4A18BD8ECBBF}"/>
    <hyperlink ref="T18" r:id="rId8" location="cfn-resource-tags-key" tooltip="http://docs.aws.amazon.com/AWSCloudFormation/latest/UserGuide/aws-properties-resource-tags.html#cfn-resource-tags-key" xr:uid="{64FFE637-559B-4462-B404-38BFBF199D10}"/>
    <hyperlink ref="T19" r:id="rId9" location="cfn-resource-tags-value" tooltip="http://docs.aws.amazon.com/AWSCloudFormation/latest/UserGuide/aws-properties-resource-tags.html#cfn-resource-tags-value" xr:uid="{BB61A7D7-49D6-4F04-9770-882DA9AC49E6}"/>
    <hyperlink ref="T20" r:id="rId10" location="cfn-resource-tags-key" tooltip="http://docs.aws.amazon.com/AWSCloudFormation/latest/UserGuide/aws-properties-resource-tags.html#cfn-resource-tags-key" xr:uid="{7EC3EF33-9214-4139-84AC-152E1C4ADA21}"/>
    <hyperlink ref="T21" r:id="rId11" location="cfn-resource-tags-value" tooltip="http://docs.aws.amazon.com/AWSCloudFormation/latest/UserGuide/aws-properties-resource-tags.html#cfn-resource-tags-value" xr:uid="{B5F35349-E0B9-4CF4-AB35-1BCE5C4E2B8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E57-7ECB-487B-8EF4-10CDA62FE26B}">
  <dimension ref="A1:V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7" sqref="V7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46.625" bestFit="1" customWidth="1"/>
  </cols>
  <sheetData>
    <row r="1" spans="1:22">
      <c r="A1" s="14" t="s">
        <v>138</v>
      </c>
    </row>
    <row r="2" spans="1:22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</row>
    <row r="3" spans="1:22">
      <c r="B3" s="26">
        <f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Setting!$D$10&amp;"-"&amp;RIGHT($E$4,LEN($E$4)-FIND(";",SUBSTITUTE($E$4,":",";",LEN($E$4)-LEN(SUBSTITUTE($E$4,":","")))))&amp;RIGHT("0"&amp;(COLUMN()-21),2)</f>
        <v>mkayano2-VPCDHCPOptionsAssociation01</v>
      </c>
    </row>
    <row r="4" spans="1:22">
      <c r="B4" s="26">
        <f>ROW()-2</f>
        <v>2</v>
      </c>
      <c r="C4" s="17"/>
      <c r="D4" s="22"/>
      <c r="E4" s="29" t="s">
        <v>209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</row>
    <row r="5" spans="1:22">
      <c r="B5" s="26">
        <f>ROW()-2</f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</row>
    <row r="6" spans="1:22">
      <c r="B6" s="26">
        <f>ROW()-2</f>
        <v>4</v>
      </c>
      <c r="C6" s="17"/>
      <c r="D6" s="22"/>
      <c r="E6" s="18"/>
      <c r="F6" s="27" t="s">
        <v>210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 t="str">
        <f>DHCPOptions!$V$3</f>
        <v>mkayano2-DHCPOptions</v>
      </c>
    </row>
    <row r="7" spans="1:22">
      <c r="B7" s="26">
        <f>ROW()-2</f>
        <v>5</v>
      </c>
      <c r="C7" s="17"/>
      <c r="D7" s="22"/>
      <c r="E7" s="18"/>
      <c r="F7" s="27" t="s">
        <v>157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 t="str">
        <f>VPC!$V$3</f>
        <v>mkayano2-VPC</v>
      </c>
    </row>
  </sheetData>
  <phoneticPr fontId="1"/>
  <hyperlinks>
    <hyperlink ref="T4" r:id="rId1" tooltip="http://docs.aws.amazon.com/AWSCloudFormation/latest/UserGuide/aws-resource-ec2-vpc-dhcp-options-assoc.html" xr:uid="{66F14995-A48B-44E2-B98A-02AC9D56EAEA}"/>
    <hyperlink ref="T6" r:id="rId2" location="cfn-ec2-vpcdhcpoptionsassociation-dhcpoptionsid" tooltip="http://docs.aws.amazon.com/AWSCloudFormation/latest/UserGuide/aws-resource-ec2-vpc-dhcp-options-assoc.html#cfn-ec2-vpcdhcpoptionsassociation-dhcpoptionsid" xr:uid="{51A82F1C-5C98-46B9-8AB5-1F0624575B38}"/>
    <hyperlink ref="T7" r:id="rId3" location="cfn-ec2-vpcdhcpoptionsassociation-vpcid" tooltip="http://docs.aws.amazon.com/AWSCloudFormation/latest/UserGuide/aws-resource-ec2-vpc-dhcp-options-assoc.html#cfn-ec2-vpcdhcpoptionsassociation-vpcid" xr:uid="{852D28D1-1672-45A1-AEDC-E7D8333E90F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56726-A7D5-47F9-90B8-548F2E817054}">
  <dimension ref="A1:AA1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Y3" sqref="Y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7" width="36.625" bestFit="1" customWidth="1"/>
  </cols>
  <sheetData>
    <row r="1" spans="1:27">
      <c r="A1" s="14" t="s">
        <v>138</v>
      </c>
    </row>
    <row r="2" spans="1:27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26">
        <f t="shared" ref="B3:B17" si="1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Setting!$D$10&amp;"-"&amp;RIGHT($E$4,LEN($E$4)-FIND(";",SUBSTITUTE($E$4,":",";",LEN($E$4)-LEN(SUBSTITUTE($E$4,":","")))))&amp;"-Private"&amp;RIGHT("0"&amp;(COLUMN()-21),2)</f>
        <v>mkayano2-Subnet-Private01</v>
      </c>
      <c r="W3" s="9" t="str">
        <f>Setting!$D$10&amp;"-"&amp;RIGHT($E$4,LEN($E$4)-FIND(";",SUBSTITUTE($E$4,":",";",LEN($E$4)-LEN(SUBSTITUTE($E$4,":","")))))&amp;"-Private"&amp;RIGHT("0"&amp;(COLUMN()-21),2)</f>
        <v>mkayano2-Subnet-Private02</v>
      </c>
      <c r="X3" s="9" t="str">
        <f>Setting!$D$10&amp;"-"&amp;RIGHT($E$4,LEN($E$4)-FIND(";",SUBSTITUTE($E$4,":",";",LEN($E$4)-LEN(SUBSTITUTE($E$4,":","")))))&amp;"-Private"&amp;RIGHT("0"&amp;(COLUMN()-21),2)</f>
        <v>mkayano2-Subnet-Private03</v>
      </c>
      <c r="Y3" s="9" t="str">
        <f>Setting!$D$10&amp;"-"&amp;RIGHT($E$4,LEN($E$4)-FIND(";",SUBSTITUTE($E$4,":",";",LEN($E$4)-LEN(SUBSTITUTE($E$4,":","")))))&amp;"-Public"&amp;RIGHT("0"&amp;(COLUMN()-24),2)</f>
        <v>mkayano2-Subnet-Public01</v>
      </c>
      <c r="Z3" s="9" t="str">
        <f>Setting!$D$10&amp;"-"&amp;RIGHT($E$4,LEN($E$4)-FIND(";",SUBSTITUTE($E$4,":",";",LEN($E$4)-LEN(SUBSTITUTE($E$4,":","")))))&amp;"-Public"&amp;RIGHT("0"&amp;(COLUMN()-24),2)</f>
        <v>mkayano2-Subnet-Public02</v>
      </c>
      <c r="AA3" s="9" t="str">
        <f>Setting!$D$10&amp;"-"&amp;RIGHT($E$4,LEN($E$4)-FIND(";",SUBSTITUTE($E$4,":",";",LEN($E$4)-LEN(SUBSTITUTE($E$4,":","")))))&amp;"-Public"&amp;RIGHT("0"&amp;(COLUMN()-24),2)</f>
        <v>mkayano2-Subnet-Public03</v>
      </c>
    </row>
    <row r="4" spans="1:27">
      <c r="B4" s="26">
        <f t="shared" si="1"/>
        <v>2</v>
      </c>
      <c r="C4" s="17"/>
      <c r="D4" s="22"/>
      <c r="E4" s="29" t="s">
        <v>160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  <c r="W4" s="21"/>
      <c r="X4" s="21"/>
      <c r="Y4" s="21"/>
      <c r="Z4" s="21"/>
      <c r="AA4" s="21"/>
    </row>
    <row r="5" spans="1:27">
      <c r="B5" s="26">
        <f t="shared" si="1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  <c r="W5" s="21"/>
      <c r="X5" s="21"/>
      <c r="Y5" s="21"/>
      <c r="Z5" s="21"/>
      <c r="AA5" s="21"/>
    </row>
    <row r="6" spans="1:27">
      <c r="B6" s="26">
        <f t="shared" si="1"/>
        <v>4</v>
      </c>
      <c r="C6" s="17"/>
      <c r="D6" s="22"/>
      <c r="E6" s="18"/>
      <c r="F6" s="27" t="s">
        <v>161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147</v>
      </c>
      <c r="T6" s="28" t="s">
        <v>144</v>
      </c>
      <c r="U6" s="9"/>
      <c r="V6" s="9"/>
      <c r="W6" s="9"/>
      <c r="X6" s="9"/>
      <c r="Y6" s="9"/>
      <c r="Z6" s="9"/>
      <c r="AA6" s="9"/>
    </row>
    <row r="7" spans="1:27" ht="56.25">
      <c r="B7" s="26">
        <f t="shared" si="1"/>
        <v>5</v>
      </c>
      <c r="C7" s="17"/>
      <c r="D7" s="22"/>
      <c r="E7" s="18"/>
      <c r="F7" s="27" t="s">
        <v>162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38" t="s">
        <v>252</v>
      </c>
      <c r="W7" s="38" t="s">
        <v>253</v>
      </c>
      <c r="X7" s="38" t="s">
        <v>254</v>
      </c>
      <c r="Y7" s="38" t="s">
        <v>252</v>
      </c>
      <c r="Z7" s="38" t="s">
        <v>253</v>
      </c>
      <c r="AA7" s="38" t="s">
        <v>254</v>
      </c>
    </row>
    <row r="8" spans="1:27">
      <c r="B8" s="26">
        <f t="shared" si="1"/>
        <v>6</v>
      </c>
      <c r="C8" s="17"/>
      <c r="D8" s="22"/>
      <c r="E8" s="18"/>
      <c r="F8" s="27" t="s">
        <v>145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26" t="s">
        <v>140</v>
      </c>
      <c r="T8" s="28" t="s">
        <v>144</v>
      </c>
      <c r="U8" s="9"/>
      <c r="V8" s="9" t="str">
        <f>Setting!$D$16</f>
        <v>192.168.0.0/27</v>
      </c>
      <c r="W8" s="9" t="str">
        <f>Setting!$D$17</f>
        <v>192.168.0.32/27</v>
      </c>
      <c r="X8" s="9" t="str">
        <f>Setting!$D$18</f>
        <v>192.168.0.64/27</v>
      </c>
      <c r="Y8" s="9" t="str">
        <f>Setting!$D$19</f>
        <v>192.168.0.128/27</v>
      </c>
      <c r="Z8" s="9" t="str">
        <f>Setting!$D$20</f>
        <v>192.168.0.160/27</v>
      </c>
      <c r="AA8" s="9" t="str">
        <f>Setting!$D$21</f>
        <v>192.168.0.192/27</v>
      </c>
    </row>
    <row r="9" spans="1:27">
      <c r="B9" s="26">
        <f t="shared" si="1"/>
        <v>7</v>
      </c>
      <c r="C9" s="17"/>
      <c r="D9" s="22"/>
      <c r="E9" s="18"/>
      <c r="F9" s="27" t="s">
        <v>163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140</v>
      </c>
      <c r="T9" s="28" t="s">
        <v>144</v>
      </c>
      <c r="U9" s="9"/>
      <c r="V9" s="9"/>
      <c r="W9" s="9"/>
      <c r="X9" s="9"/>
      <c r="Y9" s="9"/>
      <c r="Z9" s="9"/>
      <c r="AA9" s="9"/>
    </row>
    <row r="10" spans="1:27">
      <c r="B10" s="26">
        <f t="shared" si="1"/>
        <v>8</v>
      </c>
      <c r="C10" s="17"/>
      <c r="D10" s="22"/>
      <c r="E10" s="18"/>
      <c r="F10" s="27" t="s">
        <v>164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26" t="s">
        <v>147</v>
      </c>
      <c r="T10" s="28" t="s">
        <v>144</v>
      </c>
      <c r="U10" s="9"/>
      <c r="V10" s="9"/>
      <c r="W10" s="9"/>
      <c r="X10" s="9"/>
      <c r="Y10" s="9"/>
      <c r="Z10" s="9"/>
      <c r="AA10" s="9"/>
    </row>
    <row r="11" spans="1:27">
      <c r="B11" s="26">
        <f t="shared" si="1"/>
        <v>9</v>
      </c>
      <c r="C11" s="17"/>
      <c r="D11" s="22"/>
      <c r="E11" s="18"/>
      <c r="F11" s="27" t="s">
        <v>211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26" t="s">
        <v>140</v>
      </c>
      <c r="T11" s="28" t="s">
        <v>144</v>
      </c>
      <c r="U11" s="9"/>
      <c r="V11" s="9"/>
      <c r="W11" s="9"/>
      <c r="X11" s="9"/>
      <c r="Y11" s="9"/>
      <c r="Z11" s="9"/>
      <c r="AA11" s="9"/>
    </row>
    <row r="12" spans="1:27">
      <c r="B12" s="26">
        <f t="shared" si="1"/>
        <v>10</v>
      </c>
      <c r="C12" s="17"/>
      <c r="D12" s="22"/>
      <c r="E12" s="18"/>
      <c r="F12" s="32" t="s">
        <v>2</v>
      </c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4"/>
      <c r="S12" s="33" t="s">
        <v>143</v>
      </c>
      <c r="T12" s="34" t="s">
        <v>144</v>
      </c>
      <c r="U12" s="25"/>
      <c r="V12" s="25"/>
      <c r="W12" s="25"/>
      <c r="X12" s="25"/>
      <c r="Y12" s="25"/>
      <c r="Z12" s="25"/>
      <c r="AA12" s="25"/>
    </row>
    <row r="13" spans="1:27">
      <c r="B13" s="26">
        <f t="shared" si="1"/>
        <v>11</v>
      </c>
      <c r="C13" s="17"/>
      <c r="D13" s="22"/>
      <c r="E13" s="18"/>
      <c r="F13" s="23"/>
      <c r="G13" s="36" t="s">
        <v>150</v>
      </c>
      <c r="H13" s="27" t="s">
        <v>151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26" t="s">
        <v>140</v>
      </c>
      <c r="T13" s="28" t="s">
        <v>144</v>
      </c>
      <c r="U13" s="9"/>
      <c r="V13" s="9"/>
      <c r="W13" s="9"/>
      <c r="X13" s="9"/>
      <c r="Y13" s="9"/>
      <c r="Z13" s="9"/>
      <c r="AA13" s="9"/>
    </row>
    <row r="14" spans="1:27">
      <c r="B14" s="26">
        <f t="shared" si="1"/>
        <v>12</v>
      </c>
      <c r="C14" s="17"/>
      <c r="D14" s="22"/>
      <c r="E14" s="18"/>
      <c r="F14" s="23"/>
      <c r="G14" s="15"/>
      <c r="H14" s="27" t="s">
        <v>69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26" t="s">
        <v>140</v>
      </c>
      <c r="T14" s="28" t="s">
        <v>144</v>
      </c>
      <c r="U14" s="9"/>
      <c r="V14" s="9"/>
      <c r="W14" s="9"/>
      <c r="X14" s="9"/>
      <c r="Y14" s="9"/>
      <c r="Z14" s="9"/>
      <c r="AA14" s="9"/>
    </row>
    <row r="15" spans="1:27">
      <c r="B15" s="26">
        <f t="shared" si="1"/>
        <v>13</v>
      </c>
      <c r="C15" s="17"/>
      <c r="D15" s="22"/>
      <c r="E15" s="18"/>
      <c r="F15" s="23"/>
      <c r="G15" s="36" t="s">
        <v>150</v>
      </c>
      <c r="H15" s="27" t="s">
        <v>151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26" t="s">
        <v>140</v>
      </c>
      <c r="T15" s="28" t="s">
        <v>144</v>
      </c>
      <c r="U15" s="9"/>
      <c r="V15" s="9"/>
      <c r="W15" s="9"/>
      <c r="X15" s="9"/>
      <c r="Y15" s="9"/>
      <c r="Z15" s="9"/>
      <c r="AA15" s="9"/>
    </row>
    <row r="16" spans="1:27">
      <c r="B16" s="26">
        <f t="shared" si="1"/>
        <v>14</v>
      </c>
      <c r="C16" s="17"/>
      <c r="D16" s="22"/>
      <c r="E16" s="18"/>
      <c r="F16" s="23"/>
      <c r="G16" s="15"/>
      <c r="H16" s="27" t="s">
        <v>69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26" t="s">
        <v>140</v>
      </c>
      <c r="T16" s="28" t="s">
        <v>144</v>
      </c>
      <c r="U16" s="9"/>
      <c r="V16" s="9"/>
      <c r="W16" s="9"/>
      <c r="X16" s="9"/>
      <c r="Y16" s="9"/>
      <c r="Z16" s="9"/>
      <c r="AA16" s="9"/>
    </row>
    <row r="17" spans="2:27">
      <c r="B17" s="26">
        <f t="shared" si="1"/>
        <v>15</v>
      </c>
      <c r="C17" s="17"/>
      <c r="D17" s="22"/>
      <c r="E17" s="18"/>
      <c r="F17" s="27" t="s">
        <v>157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26" t="s">
        <v>140</v>
      </c>
      <c r="T17" s="28" t="s">
        <v>144</v>
      </c>
      <c r="U17" s="9"/>
      <c r="V17" s="9" t="str">
        <f>VPC!$V$3</f>
        <v>mkayano2-VPC</v>
      </c>
      <c r="W17" s="9" t="str">
        <f>VPC!$V$3</f>
        <v>mkayano2-VPC</v>
      </c>
      <c r="X17" s="9" t="str">
        <f>VPC!$V$3</f>
        <v>mkayano2-VPC</v>
      </c>
      <c r="Y17" s="9" t="str">
        <f>VPC!$V$3</f>
        <v>mkayano2-VPC</v>
      </c>
      <c r="Z17" s="9" t="str">
        <f>VPC!$V$3</f>
        <v>mkayano2-VPC</v>
      </c>
      <c r="AA17" s="9" t="str">
        <f>VPC!$V$3</f>
        <v>mkayano2-VPC</v>
      </c>
    </row>
  </sheetData>
  <phoneticPr fontId="1"/>
  <hyperlinks>
    <hyperlink ref="T4" r:id="rId1" tooltip="http://docs.aws.amazon.com/AWSCloudFormation/latest/UserGuide/aws-resource-ec2-subnet.html" xr:uid="{47F84F10-BED2-4733-8979-8171053E33DD}"/>
    <hyperlink ref="T6" r:id="rId2" location="cfn-ec2-subnet-assignipv6addressoncreation" tooltip="http://docs.aws.amazon.com/AWSCloudFormation/latest/UserGuide/aws-resource-ec2-subnet.html#cfn-ec2-subnet-assignipv6addressoncreation" xr:uid="{179F754C-4D61-445A-97A4-174EDF252704}"/>
    <hyperlink ref="T7" r:id="rId3" location="cfn-ec2-subnet-availabilityzone" tooltip="http://docs.aws.amazon.com/AWSCloudFormation/latest/UserGuide/aws-resource-ec2-subnet.html#cfn-ec2-subnet-availabilityzone" xr:uid="{180A5876-D8C3-49F4-8DC0-72CC916FB7F9}"/>
    <hyperlink ref="T8" r:id="rId4" location="cfn-ec2-subnet-cidrblock" tooltip="http://docs.aws.amazon.com/AWSCloudFormation/latest/UserGuide/aws-resource-ec2-subnet.html#cfn-ec2-subnet-cidrblock" xr:uid="{C08263B0-3B4F-49FB-9A44-9A445AFCE729}"/>
    <hyperlink ref="T9" r:id="rId5" location="cfn-ec2-subnet-ipv6cidrblock" tooltip="http://docs.aws.amazon.com/AWSCloudFormation/latest/UserGuide/aws-resource-ec2-subnet.html#cfn-ec2-subnet-ipv6cidrblock" xr:uid="{C6ED16F5-CD18-41BE-8289-8CBE28F4E3DC}"/>
    <hyperlink ref="T10" r:id="rId6" location="cfn-ec2-subnet-mappubliciponlaunch" tooltip="http://docs.aws.amazon.com/AWSCloudFormation/latest/UserGuide/aws-resource-ec2-subnet.html#cfn-ec2-subnet-mappubliciponlaunch" xr:uid="{44A00020-15E9-4A34-9687-B42F300E9628}"/>
    <hyperlink ref="T11" r:id="rId7" location="cfn-ec2-subnet-outpostarn" tooltip="http://docs.aws.amazon.com/AWSCloudFormation/latest/UserGuide/aws-resource-ec2-subnet.html#cfn-ec2-subnet-outpostarn" xr:uid="{0943BCEA-05AE-4B83-90F1-505EDB2F934C}"/>
    <hyperlink ref="T12" r:id="rId8" location="cfn-ec2-subnet-tags" tooltip="http://docs.aws.amazon.com/AWSCloudFormation/latest/UserGuide/aws-resource-ec2-subnet.html#cfn-ec2-subnet-tags" xr:uid="{F84BBD0E-BAD8-4FA6-B183-3F946A1771F8}"/>
    <hyperlink ref="T13" r:id="rId9" location="cfn-resource-tags-key" tooltip="http://docs.aws.amazon.com/AWSCloudFormation/latest/UserGuide/aws-properties-resource-tags.html#cfn-resource-tags-key" xr:uid="{CF1AFF67-6D54-43A2-893C-A66330F5E01B}"/>
    <hyperlink ref="T14" r:id="rId10" location="cfn-resource-tags-value" tooltip="http://docs.aws.amazon.com/AWSCloudFormation/latest/UserGuide/aws-properties-resource-tags.html#cfn-resource-tags-value" xr:uid="{58A54810-B5A0-45F3-A0D3-E9A5B3D3EF9B}"/>
    <hyperlink ref="T15" r:id="rId11" location="cfn-resource-tags-key" tooltip="http://docs.aws.amazon.com/AWSCloudFormation/latest/UserGuide/aws-properties-resource-tags.html#cfn-resource-tags-key" xr:uid="{F362F9E8-08BE-447F-AEE6-D37A13FDC16D}"/>
    <hyperlink ref="T16" r:id="rId12" location="cfn-resource-tags-value" tooltip="http://docs.aws.amazon.com/AWSCloudFormation/latest/UserGuide/aws-properties-resource-tags.html#cfn-resource-tags-value" xr:uid="{CA146023-01CC-4667-AE3E-010DC29FA783}"/>
    <hyperlink ref="T17" r:id="rId13" location="cfn-awsec2subnet-prop-vpcid" tooltip="http://docs.aws.amazon.com/AWSCloudFormation/latest/UserGuide/aws-resource-ec2-subnet.html#cfn-awsec2subnet-prop-vpcid" xr:uid="{1BB19EB2-6559-4A64-BF00-D7713AFFAB12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C9C8E-CAB3-425C-98D2-B3955DE66DC7}">
  <dimension ref="A1:Y1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Y23" sqref="Y2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5" width="36.375" bestFit="1" customWidth="1"/>
  </cols>
  <sheetData>
    <row r="1" spans="1:25">
      <c r="A1" s="14" t="s">
        <v>138</v>
      </c>
    </row>
    <row r="2" spans="1:25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  <c r="W2" s="7" t="str">
        <f t="shared" ref="W2:Y2" si="0">"Value" &amp; COLUMN() -  21</f>
        <v>Value2</v>
      </c>
      <c r="X2" s="7" t="str">
        <f t="shared" si="0"/>
        <v>Value3</v>
      </c>
      <c r="Y2" s="7" t="str">
        <f t="shared" si="0"/>
        <v>Value4</v>
      </c>
    </row>
    <row r="3" spans="1:25">
      <c r="B3" s="26">
        <f t="shared" ref="B3:B11" si="1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Setting!$D$10&amp;"-"&amp;RIGHT($E$4,LEN($E$4)-FIND(";",SUBSTITUTE($E$4,":",";",LEN($E$4)-LEN(SUBSTITUTE($E$4,":","")))))&amp;"-Private"&amp;RIGHT("0"&amp;(COLUMN()-21),2)</f>
        <v>mkayano2-RouteTable-Private01</v>
      </c>
      <c r="W3" s="9" t="str">
        <f>Setting!$D$10&amp;"-"&amp;RIGHT($E$4,LEN($E$4)-FIND(";",SUBSTITUTE($E$4,":",";",LEN($E$4)-LEN(SUBSTITUTE($E$4,":","")))))&amp;"-Private"&amp;RIGHT("0"&amp;(COLUMN()-21),2)</f>
        <v>mkayano2-RouteTable-Private02</v>
      </c>
      <c r="X3" s="9" t="str">
        <f>Setting!$D$10&amp;"-"&amp;RIGHT($E$4,LEN($E$4)-FIND(";",SUBSTITUTE($E$4,":",";",LEN($E$4)-LEN(SUBSTITUTE($E$4,":","")))))&amp;"-Private"&amp;RIGHT("0"&amp;(COLUMN()-21),2)</f>
        <v>mkayano2-RouteTable-Private03</v>
      </c>
      <c r="Y3" s="9" t="str">
        <f>Setting!$D$10&amp;"-"&amp;RIGHT($E$4,LEN($E$4)-FIND(";",SUBSTITUTE($E$4,":",";",LEN($E$4)-LEN(SUBSTITUTE($E$4,":","")))))&amp;"-Public"</f>
        <v>mkayano2-RouteTable-Public</v>
      </c>
    </row>
    <row r="4" spans="1:25">
      <c r="B4" s="26">
        <f t="shared" si="1"/>
        <v>2</v>
      </c>
      <c r="C4" s="17"/>
      <c r="D4" s="22"/>
      <c r="E4" s="29" t="s">
        <v>212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  <c r="W4" s="21"/>
      <c r="X4" s="21"/>
      <c r="Y4" s="21"/>
    </row>
    <row r="5" spans="1:25">
      <c r="B5" s="26">
        <f t="shared" si="1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  <c r="W5" s="21"/>
      <c r="X5" s="21"/>
      <c r="Y5" s="21"/>
    </row>
    <row r="6" spans="1:25">
      <c r="B6" s="26">
        <f t="shared" si="1"/>
        <v>4</v>
      </c>
      <c r="C6" s="17"/>
      <c r="D6" s="22"/>
      <c r="E6" s="18"/>
      <c r="F6" s="32" t="s">
        <v>2</v>
      </c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4"/>
      <c r="S6" s="33" t="s">
        <v>143</v>
      </c>
      <c r="T6" s="34" t="s">
        <v>144</v>
      </c>
      <c r="U6" s="25"/>
      <c r="V6" s="25"/>
      <c r="W6" s="25"/>
      <c r="X6" s="25"/>
      <c r="Y6" s="25"/>
    </row>
    <row r="7" spans="1:25">
      <c r="B7" s="26">
        <f t="shared" si="1"/>
        <v>5</v>
      </c>
      <c r="C7" s="17"/>
      <c r="D7" s="22"/>
      <c r="E7" s="18"/>
      <c r="F7" s="23"/>
      <c r="G7" s="36" t="s">
        <v>150</v>
      </c>
      <c r="H7" s="27" t="s">
        <v>151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/>
      <c r="W7" s="9"/>
      <c r="X7" s="9"/>
      <c r="Y7" s="9"/>
    </row>
    <row r="8" spans="1:25">
      <c r="B8" s="26">
        <f t="shared" si="1"/>
        <v>6</v>
      </c>
      <c r="C8" s="17"/>
      <c r="D8" s="22"/>
      <c r="E8" s="18"/>
      <c r="F8" s="23"/>
      <c r="G8" s="15"/>
      <c r="H8" s="27" t="s">
        <v>69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26" t="s">
        <v>140</v>
      </c>
      <c r="T8" s="28" t="s">
        <v>144</v>
      </c>
      <c r="U8" s="9"/>
      <c r="V8" s="9"/>
      <c r="W8" s="9"/>
      <c r="X8" s="9"/>
      <c r="Y8" s="9"/>
    </row>
    <row r="9" spans="1:25">
      <c r="B9" s="26">
        <f t="shared" si="1"/>
        <v>7</v>
      </c>
      <c r="C9" s="17"/>
      <c r="D9" s="22"/>
      <c r="E9" s="18"/>
      <c r="F9" s="23"/>
      <c r="G9" s="36" t="s">
        <v>150</v>
      </c>
      <c r="H9" s="27" t="s">
        <v>151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140</v>
      </c>
      <c r="T9" s="28" t="s">
        <v>144</v>
      </c>
      <c r="U9" s="9"/>
      <c r="V9" s="9"/>
      <c r="W9" s="9"/>
      <c r="X9" s="9"/>
      <c r="Y9" s="9"/>
    </row>
    <row r="10" spans="1:25">
      <c r="B10" s="26">
        <f t="shared" si="1"/>
        <v>8</v>
      </c>
      <c r="C10" s="17"/>
      <c r="D10" s="22"/>
      <c r="E10" s="18"/>
      <c r="F10" s="23"/>
      <c r="G10" s="15"/>
      <c r="H10" s="27" t="s">
        <v>69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26" t="s">
        <v>140</v>
      </c>
      <c r="T10" s="28" t="s">
        <v>144</v>
      </c>
      <c r="U10" s="9"/>
      <c r="V10" s="9"/>
      <c r="W10" s="9"/>
      <c r="X10" s="9"/>
      <c r="Y10" s="9"/>
    </row>
    <row r="11" spans="1:25">
      <c r="B11" s="26">
        <f t="shared" si="1"/>
        <v>9</v>
      </c>
      <c r="C11" s="17"/>
      <c r="D11" s="22"/>
      <c r="E11" s="18"/>
      <c r="F11" s="27" t="s">
        <v>157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26" t="s">
        <v>140</v>
      </c>
      <c r="T11" s="28" t="s">
        <v>144</v>
      </c>
      <c r="U11" s="9"/>
      <c r="V11" s="9" t="str">
        <f>VPC!$V$3</f>
        <v>mkayano2-VPC</v>
      </c>
      <c r="W11" s="9" t="str">
        <f>VPC!$V$3</f>
        <v>mkayano2-VPC</v>
      </c>
      <c r="X11" s="9" t="str">
        <f>VPC!$V$3</f>
        <v>mkayano2-VPC</v>
      </c>
      <c r="Y11" s="9" t="str">
        <f>VPC!$V$3</f>
        <v>mkayano2-VPC</v>
      </c>
    </row>
  </sheetData>
  <phoneticPr fontId="1"/>
  <hyperlinks>
    <hyperlink ref="T4" r:id="rId1" tooltip="http://docs.aws.amazon.com/AWSCloudFormation/latest/UserGuide/aws-resource-ec2-route-table.html" xr:uid="{123300C3-5D6A-4430-A4F8-3CC78D6702A8}"/>
    <hyperlink ref="T6" r:id="rId2" location="cfn-ec2-routetable-tags" tooltip="http://docs.aws.amazon.com/AWSCloudFormation/latest/UserGuide/aws-resource-ec2-route-table.html#cfn-ec2-routetable-tags" xr:uid="{DBE45521-9DED-4205-BDFF-65C376E5E20A}"/>
    <hyperlink ref="T7" r:id="rId3" location="cfn-resource-tags-key" tooltip="http://docs.aws.amazon.com/AWSCloudFormation/latest/UserGuide/aws-properties-resource-tags.html#cfn-resource-tags-key" xr:uid="{8F16E651-A94F-46D1-847A-85D7F85A1EE2}"/>
    <hyperlink ref="T8" r:id="rId4" location="cfn-resource-tags-value" tooltip="http://docs.aws.amazon.com/AWSCloudFormation/latest/UserGuide/aws-properties-resource-tags.html#cfn-resource-tags-value" xr:uid="{28A276F8-FAC1-42A9-A987-00A7BD78D055}"/>
    <hyperlink ref="T9" r:id="rId5" location="cfn-resource-tags-key" tooltip="http://docs.aws.amazon.com/AWSCloudFormation/latest/UserGuide/aws-properties-resource-tags.html#cfn-resource-tags-key" xr:uid="{862E667F-5514-4FE2-9E93-A2A0D8190A10}"/>
    <hyperlink ref="T10" r:id="rId6" location="cfn-resource-tags-value" tooltip="http://docs.aws.amazon.com/AWSCloudFormation/latest/UserGuide/aws-properties-resource-tags.html#cfn-resource-tags-value" xr:uid="{157DE43F-3377-47FB-A125-33E0C7FC1A01}"/>
    <hyperlink ref="T11" r:id="rId7" location="cfn-ec2-routetable-vpcid" tooltip="http://docs.aws.amazon.com/AWSCloudFormation/latest/UserGuide/aws-resource-ec2-route-table.html#cfn-ec2-routetable-vpcid" xr:uid="{1AB090CE-2E2C-42E6-A185-AB29336EB735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762E9-FA7A-4C8D-9EC8-A972C16F1714}">
  <dimension ref="A1:V1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AB44" sqref="AB44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31.375" bestFit="1" customWidth="1"/>
  </cols>
  <sheetData>
    <row r="1" spans="1:22">
      <c r="A1" s="14" t="s">
        <v>138</v>
      </c>
    </row>
    <row r="2" spans="1:22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</row>
    <row r="3" spans="1:22">
      <c r="B3" s="26">
        <f t="shared" ref="B3:B18" si="0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Setting!$D$10&amp;"-"&amp;RIGHT($E$4,LEN($E$4)-FIND(";",SUBSTITUTE($E$4,":",";",LEN($E$4)-LEN(SUBSTITUTE($E$4,":","")))))&amp;RIGHT("0"&amp;(COLUMN()-21),2)</f>
        <v>mkayano2-Route01</v>
      </c>
    </row>
    <row r="4" spans="1:22">
      <c r="B4" s="26">
        <f t="shared" si="0"/>
        <v>2</v>
      </c>
      <c r="C4" s="17"/>
      <c r="D4" s="22"/>
      <c r="E4" s="29" t="s">
        <v>165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</row>
    <row r="5" spans="1:22">
      <c r="B5" s="26">
        <f t="shared" si="0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</row>
    <row r="6" spans="1:22">
      <c r="B6" s="26">
        <f t="shared" si="0"/>
        <v>4</v>
      </c>
      <c r="C6" s="17"/>
      <c r="D6" s="22"/>
      <c r="E6" s="18"/>
      <c r="F6" s="27" t="s">
        <v>213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/>
    </row>
    <row r="7" spans="1:22">
      <c r="B7" s="26">
        <f t="shared" si="0"/>
        <v>5</v>
      </c>
      <c r="C7" s="17"/>
      <c r="D7" s="22"/>
      <c r="E7" s="18"/>
      <c r="F7" s="27" t="s">
        <v>166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 t="s">
        <v>236</v>
      </c>
    </row>
    <row r="8" spans="1:22">
      <c r="B8" s="26">
        <f t="shared" si="0"/>
        <v>6</v>
      </c>
      <c r="C8" s="17"/>
      <c r="D8" s="22"/>
      <c r="E8" s="18"/>
      <c r="F8" s="27" t="s">
        <v>167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26" t="s">
        <v>140</v>
      </c>
      <c r="T8" s="28" t="s">
        <v>144</v>
      </c>
      <c r="U8" s="9"/>
      <c r="V8" s="9"/>
    </row>
    <row r="9" spans="1:22">
      <c r="B9" s="26">
        <f t="shared" si="0"/>
        <v>7</v>
      </c>
      <c r="C9" s="17"/>
      <c r="D9" s="22"/>
      <c r="E9" s="18"/>
      <c r="F9" s="27" t="s">
        <v>168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140</v>
      </c>
      <c r="T9" s="28" t="s">
        <v>144</v>
      </c>
      <c r="U9" s="9"/>
      <c r="V9" s="9"/>
    </row>
    <row r="10" spans="1:22">
      <c r="B10" s="26">
        <f t="shared" si="0"/>
        <v>8</v>
      </c>
      <c r="C10" s="17"/>
      <c r="D10" s="22"/>
      <c r="E10" s="18"/>
      <c r="F10" s="27" t="s">
        <v>169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26" t="s">
        <v>140</v>
      </c>
      <c r="T10" s="28" t="s">
        <v>144</v>
      </c>
      <c r="U10" s="9"/>
      <c r="V10" s="9" t="str">
        <f>InternetGateway!$V$3</f>
        <v>mkayano2-InternetGateway</v>
      </c>
    </row>
    <row r="11" spans="1:22">
      <c r="B11" s="26">
        <f t="shared" si="0"/>
        <v>9</v>
      </c>
      <c r="C11" s="17"/>
      <c r="D11" s="22"/>
      <c r="E11" s="18"/>
      <c r="F11" s="27" t="s">
        <v>170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26" t="s">
        <v>140</v>
      </c>
      <c r="T11" s="28" t="s">
        <v>144</v>
      </c>
      <c r="U11" s="9"/>
      <c r="V11" s="9"/>
    </row>
    <row r="12" spans="1:22">
      <c r="B12" s="26">
        <f t="shared" si="0"/>
        <v>10</v>
      </c>
      <c r="C12" s="17"/>
      <c r="D12" s="22"/>
      <c r="E12" s="18"/>
      <c r="F12" s="27" t="s">
        <v>214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26" t="s">
        <v>140</v>
      </c>
      <c r="T12" s="28" t="s">
        <v>144</v>
      </c>
      <c r="U12" s="9"/>
      <c r="V12" s="9"/>
    </row>
    <row r="13" spans="1:22">
      <c r="B13" s="26">
        <f t="shared" si="0"/>
        <v>11</v>
      </c>
      <c r="C13" s="17"/>
      <c r="D13" s="22"/>
      <c r="E13" s="18"/>
      <c r="F13" s="27" t="s">
        <v>171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26" t="s">
        <v>140</v>
      </c>
      <c r="T13" s="28" t="s">
        <v>144</v>
      </c>
      <c r="U13" s="9"/>
      <c r="V13" s="9"/>
    </row>
    <row r="14" spans="1:22">
      <c r="B14" s="26">
        <f t="shared" si="0"/>
        <v>12</v>
      </c>
      <c r="C14" s="17"/>
      <c r="D14" s="22"/>
      <c r="E14" s="18"/>
      <c r="F14" s="27" t="s">
        <v>172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26" t="s">
        <v>140</v>
      </c>
      <c r="T14" s="28" t="s">
        <v>144</v>
      </c>
      <c r="U14" s="9"/>
      <c r="V14" s="9"/>
    </row>
    <row r="15" spans="1:22">
      <c r="B15" s="26">
        <f t="shared" si="0"/>
        <v>13</v>
      </c>
      <c r="C15" s="17"/>
      <c r="D15" s="22"/>
      <c r="E15" s="18"/>
      <c r="F15" s="27" t="s">
        <v>173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26" t="s">
        <v>140</v>
      </c>
      <c r="T15" s="28" t="s">
        <v>144</v>
      </c>
      <c r="U15" s="9"/>
      <c r="V15" s="9" t="str">
        <f>RouteTable!$Y$3</f>
        <v>mkayano2-RouteTable-Public</v>
      </c>
    </row>
    <row r="16" spans="1:22">
      <c r="B16" s="26">
        <f t="shared" si="0"/>
        <v>14</v>
      </c>
      <c r="C16" s="17"/>
      <c r="D16" s="22"/>
      <c r="E16" s="18"/>
      <c r="F16" s="27" t="s">
        <v>174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26" t="s">
        <v>140</v>
      </c>
      <c r="T16" s="28" t="s">
        <v>144</v>
      </c>
      <c r="U16" s="9"/>
      <c r="V16" s="9"/>
    </row>
    <row r="17" spans="2:22">
      <c r="B17" s="26">
        <f t="shared" si="0"/>
        <v>15</v>
      </c>
      <c r="C17" s="17"/>
      <c r="D17" s="22"/>
      <c r="E17" s="18"/>
      <c r="F17" s="27" t="s">
        <v>215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26" t="s">
        <v>140</v>
      </c>
      <c r="T17" s="28" t="s">
        <v>144</v>
      </c>
      <c r="U17" s="9"/>
      <c r="V17" s="9"/>
    </row>
    <row r="18" spans="2:22">
      <c r="B18" s="26">
        <f t="shared" si="0"/>
        <v>16</v>
      </c>
      <c r="C18" s="17"/>
      <c r="D18" s="22"/>
      <c r="E18" s="18"/>
      <c r="F18" s="27" t="s">
        <v>175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26" t="s">
        <v>140</v>
      </c>
      <c r="T18" s="28" t="s">
        <v>144</v>
      </c>
      <c r="U18" s="9"/>
      <c r="V18" s="9"/>
    </row>
  </sheetData>
  <phoneticPr fontId="1"/>
  <hyperlinks>
    <hyperlink ref="T4" r:id="rId1" tooltip="http://docs.aws.amazon.com/AWSCloudFormation/latest/UserGuide/aws-resource-ec2-route.html" xr:uid="{4121C24C-2EE7-4D8F-9FE1-D7D37B051887}"/>
    <hyperlink ref="T6" r:id="rId2" location="cfn-ec2-route-carriergatewayid" tooltip="http://docs.aws.amazon.com/AWSCloudFormation/latest/UserGuide/aws-resource-ec2-route.html#cfn-ec2-route-carriergatewayid" xr:uid="{2DC2F487-E66B-46EF-ABA9-E4E53104F570}"/>
    <hyperlink ref="T7" r:id="rId3" location="cfn-ec2-route-destinationcidrblock" tooltip="http://docs.aws.amazon.com/AWSCloudFormation/latest/UserGuide/aws-resource-ec2-route.html#cfn-ec2-route-destinationcidrblock" xr:uid="{7602AB2E-ABAF-433F-9822-B7E0997BC60B}"/>
    <hyperlink ref="T8" r:id="rId4" location="cfn-ec2-route-destinationipv6cidrblock" tooltip="http://docs.aws.amazon.com/AWSCloudFormation/latest/UserGuide/aws-resource-ec2-route.html#cfn-ec2-route-destinationipv6cidrblock" xr:uid="{B168A167-67E2-41BD-9CD3-74FE3BE9071A}"/>
    <hyperlink ref="T9" r:id="rId5" location="cfn-ec2-route-egressonlyinternetgatewayid" tooltip="http://docs.aws.amazon.com/AWSCloudFormation/latest/UserGuide/aws-resource-ec2-route.html#cfn-ec2-route-egressonlyinternetgatewayid" xr:uid="{64135577-BCAE-45BA-85BB-592AAE2080FF}"/>
    <hyperlink ref="T10" r:id="rId6" location="cfn-ec2-route-gatewayid" tooltip="http://docs.aws.amazon.com/AWSCloudFormation/latest/UserGuide/aws-resource-ec2-route.html#cfn-ec2-route-gatewayid" xr:uid="{76C10410-ECB4-46B6-AA9F-21C4B82144A3}"/>
    <hyperlink ref="T11" r:id="rId7" location="cfn-ec2-route-instanceid" tooltip="http://docs.aws.amazon.com/AWSCloudFormation/latest/UserGuide/aws-resource-ec2-route.html#cfn-ec2-route-instanceid" xr:uid="{614B8ECA-572F-405B-8279-B458CB5AD3D5}"/>
    <hyperlink ref="T12" r:id="rId8" location="cfn-ec2-route-localgatewayid" tooltip="http://docs.aws.amazon.com/AWSCloudFormation/latest/UserGuide/aws-resource-ec2-route.html#cfn-ec2-route-localgatewayid" xr:uid="{A7B67DED-347E-4AD5-87EF-463C3CFFBE88}"/>
    <hyperlink ref="T13" r:id="rId9" location="cfn-ec2-route-natgatewayid" tooltip="http://docs.aws.amazon.com/AWSCloudFormation/latest/UserGuide/aws-resource-ec2-route.html#cfn-ec2-route-natgatewayid" xr:uid="{65E61B35-6B6E-4082-A28A-15E8E6E05B3C}"/>
    <hyperlink ref="T14" r:id="rId10" location="cfn-ec2-route-networkinterfaceid" tooltip="http://docs.aws.amazon.com/AWSCloudFormation/latest/UserGuide/aws-resource-ec2-route.html#cfn-ec2-route-networkinterfaceid" xr:uid="{1B3F17D3-2300-481B-8294-C3F6B4AB0AA5}"/>
    <hyperlink ref="T15" r:id="rId11" location="cfn-ec2-route-routetableid" tooltip="http://docs.aws.amazon.com/AWSCloudFormation/latest/UserGuide/aws-resource-ec2-route.html#cfn-ec2-route-routetableid" xr:uid="{A2CACD42-F16B-40F4-AFA5-9DDDD8D77AE4}"/>
    <hyperlink ref="T16" r:id="rId12" location="cfn-ec2-route-transitgatewayid" tooltip="http://docs.aws.amazon.com/AWSCloudFormation/latest/UserGuide/aws-resource-ec2-route.html#cfn-ec2-route-transitgatewayid" xr:uid="{A4961F54-217A-4597-96DA-09E0ACE34942}"/>
    <hyperlink ref="T17" r:id="rId13" location="cfn-ec2-route-vpcendpointid" tooltip="http://docs.aws.amazon.com/AWSCloudFormation/latest/UserGuide/aws-resource-ec2-route.html#cfn-ec2-route-vpcendpointid" xr:uid="{7EA3145B-61E5-430F-8FCB-1EC297F68865}"/>
    <hyperlink ref="T18" r:id="rId14" location="cfn-ec2-route-vpcpeeringconnectionid" tooltip="http://docs.aws.amazon.com/AWSCloudFormation/latest/UserGuide/aws-resource-ec2-route.html#cfn-ec2-route-vpcpeeringconnectionid" xr:uid="{879EA843-9CB9-43AE-9A5B-8CA5795264E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250D-0647-4782-BD32-B56660EFAC6C}">
  <dimension ref="A1:AA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5" width="46.75" bestFit="1" customWidth="1"/>
    <col min="26" max="27" width="46.75" style="8" bestFit="1" customWidth="1"/>
  </cols>
  <sheetData>
    <row r="1" spans="1:27">
      <c r="A1" s="14" t="s">
        <v>138</v>
      </c>
    </row>
    <row r="2" spans="1:27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  <c r="W2" s="7" t="str">
        <f>"Value" &amp; COLUMN() -  21</f>
        <v>Value2</v>
      </c>
      <c r="X2" s="7" t="str">
        <f>"Value" &amp; COLUMN() -  21</f>
        <v>Value3</v>
      </c>
      <c r="Y2" s="7" t="str">
        <f>"Value" &amp; COLUMN() -  21</f>
        <v>Value4</v>
      </c>
      <c r="Z2" s="7" t="str">
        <f t="shared" ref="Z2:AA2" si="0">"Value" &amp; COLUMN() -  21</f>
        <v>Value5</v>
      </c>
      <c r="AA2" s="7" t="str">
        <f t="shared" si="0"/>
        <v>Value6</v>
      </c>
    </row>
    <row r="3" spans="1:27">
      <c r="B3" s="26">
        <f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Setting!$D$10&amp;"-"&amp;RIGHT($E$4,LEN($E$4)-FIND(";",SUBSTITUTE($E$4,":",";",LEN($E$4)-LEN(SUBSTITUTE($E$4,":","")))))&amp;RIGHT("0"&amp;(COLUMN()-21),2)</f>
        <v>mkayano2-SubnetRouteTableAssociation01</v>
      </c>
      <c r="W3" s="9" t="str">
        <f>Setting!$D$10&amp;"-"&amp;RIGHT($E$4,LEN($E$4)-FIND(";",SUBSTITUTE($E$4,":",";",LEN($E$4)-LEN(SUBSTITUTE($E$4,":","")))))&amp;RIGHT("0"&amp;(COLUMN()-21),2)</f>
        <v>mkayano2-SubnetRouteTableAssociation02</v>
      </c>
      <c r="X3" s="9" t="str">
        <f>Setting!$D$10&amp;"-"&amp;RIGHT($E$4,LEN($E$4)-FIND(";",SUBSTITUTE($E$4,":",";",LEN($E$4)-LEN(SUBSTITUTE($E$4,":","")))))&amp;RIGHT("0"&amp;(COLUMN()-21),2)</f>
        <v>mkayano2-SubnetRouteTableAssociation03</v>
      </c>
      <c r="Y3" s="9" t="str">
        <f>Setting!$D$10&amp;"-"&amp;RIGHT($E$4,LEN($E$4)-FIND(";",SUBSTITUTE($E$4,":",";",LEN($E$4)-LEN(SUBSTITUTE($E$4,":","")))))&amp;RIGHT("0"&amp;(COLUMN()-21),2)</f>
        <v>mkayano2-SubnetRouteTableAssociation04</v>
      </c>
      <c r="Z3" s="9" t="str">
        <f>Setting!$D$10&amp;"-"&amp;RIGHT($E$4,LEN($E$4)-FIND(";",SUBSTITUTE($E$4,":",";",LEN($E$4)-LEN(SUBSTITUTE($E$4,":","")))))&amp;RIGHT("0"&amp;(COLUMN()-21),2)</f>
        <v>mkayano2-SubnetRouteTableAssociation05</v>
      </c>
      <c r="AA3" s="9" t="str">
        <f>Setting!$D$10&amp;"-"&amp;RIGHT($E$4,LEN($E$4)-FIND(";",SUBSTITUTE($E$4,":",";",LEN($E$4)-LEN(SUBSTITUTE($E$4,":","")))))&amp;RIGHT("0"&amp;(COLUMN()-21),2)</f>
        <v>mkayano2-SubnetRouteTableAssociation06</v>
      </c>
    </row>
    <row r="4" spans="1:27">
      <c r="B4" s="26">
        <f>ROW()-2</f>
        <v>2</v>
      </c>
      <c r="C4" s="17"/>
      <c r="D4" s="22"/>
      <c r="E4" s="29" t="s">
        <v>176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  <c r="W4" s="21"/>
      <c r="X4" s="21"/>
      <c r="Y4" s="21"/>
      <c r="Z4" s="21"/>
      <c r="AA4" s="21"/>
    </row>
    <row r="5" spans="1:27">
      <c r="B5" s="26">
        <f>ROW()-2</f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  <c r="W5" s="21"/>
      <c r="X5" s="21"/>
      <c r="Y5" s="21"/>
      <c r="Z5" s="21"/>
      <c r="AA5" s="21"/>
    </row>
    <row r="6" spans="1:27">
      <c r="B6" s="26">
        <f>ROW()-2</f>
        <v>4</v>
      </c>
      <c r="C6" s="17"/>
      <c r="D6" s="22"/>
      <c r="E6" s="18"/>
      <c r="F6" s="27" t="s">
        <v>173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 t="str">
        <f>RouteTable!V$3</f>
        <v>mkayano2-RouteTable-Private01</v>
      </c>
      <c r="W6" s="9" t="str">
        <f>RouteTable!W$3</f>
        <v>mkayano2-RouteTable-Private02</v>
      </c>
      <c r="X6" s="9" t="str">
        <f>RouteTable!X$3</f>
        <v>mkayano2-RouteTable-Private03</v>
      </c>
      <c r="Y6" s="9" t="str">
        <f>RouteTable!$Y$3</f>
        <v>mkayano2-RouteTable-Public</v>
      </c>
      <c r="Z6" s="9" t="str">
        <f>RouteTable!$Y$3</f>
        <v>mkayano2-RouteTable-Public</v>
      </c>
      <c r="AA6" s="9" t="str">
        <f>RouteTable!$Y$3</f>
        <v>mkayano2-RouteTable-Public</v>
      </c>
    </row>
    <row r="7" spans="1:27">
      <c r="B7" s="26">
        <f>ROW()-2</f>
        <v>5</v>
      </c>
      <c r="C7" s="17"/>
      <c r="D7" s="22"/>
      <c r="E7" s="18"/>
      <c r="F7" s="27" t="s">
        <v>177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 t="str">
        <f>Subnet!V$3</f>
        <v>mkayano2-Subnet-Private01</v>
      </c>
      <c r="W7" s="9" t="str">
        <f>Subnet!W$3</f>
        <v>mkayano2-Subnet-Private02</v>
      </c>
      <c r="X7" s="9" t="str">
        <f>Subnet!X$3</f>
        <v>mkayano2-Subnet-Private03</v>
      </c>
      <c r="Y7" s="9" t="str">
        <f>Subnet!Y$3</f>
        <v>mkayano2-Subnet-Public01</v>
      </c>
      <c r="Z7" s="9" t="str">
        <f>Subnet!Z$3</f>
        <v>mkayano2-Subnet-Public02</v>
      </c>
      <c r="AA7" s="9" t="str">
        <f>Subnet!AA$3</f>
        <v>mkayano2-Subnet-Public03</v>
      </c>
    </row>
  </sheetData>
  <phoneticPr fontId="1"/>
  <hyperlinks>
    <hyperlink ref="T4" r:id="rId1" tooltip="http://docs.aws.amazon.com/AWSCloudFormation/latest/UserGuide/aws-resource-ec2-subnet-route-table-assoc.html" xr:uid="{4263BF2A-CBC1-4AB5-87C9-6B7D7C7A26DE}"/>
    <hyperlink ref="T6" r:id="rId2" location="cfn-ec2-subnetroutetableassociation-routetableid" tooltip="http://docs.aws.amazon.com/AWSCloudFormation/latest/UserGuide/aws-resource-ec2-subnet-route-table-assoc.html#cfn-ec2-subnetroutetableassociation-routetableid" xr:uid="{D70862E6-B4A6-4F41-937C-243F5BED609E}"/>
    <hyperlink ref="T7" r:id="rId3" location="cfn-ec2-subnetroutetableassociation-subnetid" tooltip="http://docs.aws.amazon.com/AWSCloudFormation/latest/UserGuide/aws-resource-ec2-subnet-route-table-assoc.html#cfn-ec2-subnetroutetableassociation-subnetid" xr:uid="{BCBD98B2-655E-4CB8-9A11-C85DDA99386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69D5-5A65-44C4-A393-C6670568176E}">
  <dimension ref="A1:V1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3" sqref="V3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138</v>
      </c>
    </row>
    <row r="2" spans="1:22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</row>
    <row r="3" spans="1:22">
      <c r="B3" s="26">
        <f t="shared" ref="B3:B11" si="0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</f>
        <v>mkayano2-NetworkAcl</v>
      </c>
    </row>
    <row r="4" spans="1:22">
      <c r="B4" s="26">
        <f t="shared" si="0"/>
        <v>2</v>
      </c>
      <c r="C4" s="17"/>
      <c r="D4" s="22"/>
      <c r="E4" s="29" t="s">
        <v>178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</row>
    <row r="5" spans="1:22">
      <c r="B5" s="26">
        <f t="shared" si="0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</row>
    <row r="6" spans="1:22">
      <c r="B6" s="26">
        <f t="shared" si="0"/>
        <v>4</v>
      </c>
      <c r="C6" s="17"/>
      <c r="D6" s="22"/>
      <c r="E6" s="18"/>
      <c r="F6" s="32" t="s">
        <v>2</v>
      </c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4"/>
      <c r="S6" s="33" t="s">
        <v>143</v>
      </c>
      <c r="T6" s="34" t="s">
        <v>144</v>
      </c>
      <c r="U6" s="25"/>
      <c r="V6" s="25"/>
    </row>
    <row r="7" spans="1:22">
      <c r="B7" s="26">
        <f t="shared" si="0"/>
        <v>5</v>
      </c>
      <c r="C7" s="17"/>
      <c r="D7" s="22"/>
      <c r="E7" s="18"/>
      <c r="F7" s="23"/>
      <c r="G7" s="36" t="s">
        <v>150</v>
      </c>
      <c r="H7" s="27" t="s">
        <v>151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/>
    </row>
    <row r="8" spans="1:22">
      <c r="B8" s="26">
        <f t="shared" si="0"/>
        <v>6</v>
      </c>
      <c r="C8" s="17"/>
      <c r="D8" s="22"/>
      <c r="E8" s="18"/>
      <c r="F8" s="23"/>
      <c r="G8" s="15"/>
      <c r="H8" s="27" t="s">
        <v>69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26" t="s">
        <v>140</v>
      </c>
      <c r="T8" s="28" t="s">
        <v>144</v>
      </c>
      <c r="U8" s="9"/>
      <c r="V8" s="9"/>
    </row>
    <row r="9" spans="1:22">
      <c r="B9" s="26">
        <f t="shared" si="0"/>
        <v>7</v>
      </c>
      <c r="C9" s="17"/>
      <c r="D9" s="22"/>
      <c r="E9" s="18"/>
      <c r="F9" s="23"/>
      <c r="G9" s="36" t="s">
        <v>150</v>
      </c>
      <c r="H9" s="27" t="s">
        <v>151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140</v>
      </c>
      <c r="T9" s="28" t="s">
        <v>144</v>
      </c>
      <c r="U9" s="9"/>
      <c r="V9" s="9"/>
    </row>
    <row r="10" spans="1:22">
      <c r="B10" s="26">
        <f t="shared" si="0"/>
        <v>8</v>
      </c>
      <c r="C10" s="17"/>
      <c r="D10" s="22"/>
      <c r="E10" s="18"/>
      <c r="F10" s="23"/>
      <c r="G10" s="15"/>
      <c r="H10" s="27" t="s">
        <v>69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26" t="s">
        <v>140</v>
      </c>
      <c r="T10" s="28" t="s">
        <v>144</v>
      </c>
      <c r="U10" s="9"/>
      <c r="V10" s="9"/>
    </row>
    <row r="11" spans="1:22">
      <c r="B11" s="26">
        <f t="shared" si="0"/>
        <v>9</v>
      </c>
      <c r="C11" s="17"/>
      <c r="D11" s="22"/>
      <c r="E11" s="18"/>
      <c r="F11" s="27" t="s">
        <v>157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26" t="s">
        <v>140</v>
      </c>
      <c r="T11" s="28" t="s">
        <v>144</v>
      </c>
      <c r="U11" s="9"/>
      <c r="V11" s="9" t="str">
        <f>VPC!$V$3</f>
        <v>mkayano2-VPC</v>
      </c>
    </row>
  </sheetData>
  <phoneticPr fontId="1"/>
  <hyperlinks>
    <hyperlink ref="T4" r:id="rId1" tooltip="http://docs.aws.amazon.com/AWSCloudFormation/latest/UserGuide/aws-resource-ec2-network-acl.html" xr:uid="{2BB41641-8AE8-4E87-AA38-F483CF3FEC3B}"/>
    <hyperlink ref="T6" r:id="rId2" location="cfn-ec2-networkacl-tags" tooltip="http://docs.aws.amazon.com/AWSCloudFormation/latest/UserGuide/aws-resource-ec2-network-acl.html#cfn-ec2-networkacl-tags" xr:uid="{803132A6-2E03-4355-A0AD-A308EAE289B8}"/>
    <hyperlink ref="T7" r:id="rId3" location="cfn-resource-tags-key" tooltip="http://docs.aws.amazon.com/AWSCloudFormation/latest/UserGuide/aws-properties-resource-tags.html#cfn-resource-tags-key" xr:uid="{CF530481-31BF-4618-BA1C-ADE18757CB61}"/>
    <hyperlink ref="T8" r:id="rId4" location="cfn-resource-tags-value" tooltip="http://docs.aws.amazon.com/AWSCloudFormation/latest/UserGuide/aws-properties-resource-tags.html#cfn-resource-tags-value" xr:uid="{B946CF60-6CDC-47E4-B23B-CE7D4520F114}"/>
    <hyperlink ref="T9" r:id="rId5" location="cfn-resource-tags-key" tooltip="http://docs.aws.amazon.com/AWSCloudFormation/latest/UserGuide/aws-properties-resource-tags.html#cfn-resource-tags-key" xr:uid="{15809B5F-0CFE-40EB-AE51-4694B81F22BB}"/>
    <hyperlink ref="T10" r:id="rId6" location="cfn-resource-tags-value" tooltip="http://docs.aws.amazon.com/AWSCloudFormation/latest/UserGuide/aws-properties-resource-tags.html#cfn-resource-tags-value" xr:uid="{5449752E-460C-4499-8D77-63FBF6934296}"/>
    <hyperlink ref="T11" r:id="rId7" location="cfn-ec2-networkacl-vpcid" tooltip="http://docs.aws.amazon.com/AWSCloudFormation/latest/UserGuide/aws-resource-ec2-network-acl.html#cfn-ec2-networkacl-vpcid" xr:uid="{ADA506DC-9491-4F1E-A670-2B28CABCD2B4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94F7B-8BF3-4E62-A836-DB28D3932EBA}">
  <dimension ref="A1:W1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W27" sqref="W27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3" width="33.875" bestFit="1" customWidth="1"/>
  </cols>
  <sheetData>
    <row r="1" spans="1:23">
      <c r="A1" s="14" t="s">
        <v>138</v>
      </c>
    </row>
    <row r="2" spans="1:23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  <c r="W2" s="7" t="str">
        <f>"Value" &amp; COLUMN() -  21</f>
        <v>Value2</v>
      </c>
    </row>
    <row r="3" spans="1:23">
      <c r="B3" s="26">
        <f t="shared" ref="B3:B18" si="0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Setting!$D$10&amp;"-"&amp;RIGHT($E$4,LEN($E$4)-FIND(";",SUBSTITUTE($E$4,":",";",LEN($E$4)-LEN(SUBSTITUTE($E$4,":","")))))&amp;RIGHT("0"&amp;(COLUMN()-21),2)</f>
        <v>mkayano2-NetworkAclEntry01</v>
      </c>
      <c r="W3" s="9" t="str">
        <f>Setting!$D$10&amp;"-"&amp;RIGHT($E$4,LEN($E$4)-FIND(";",SUBSTITUTE($E$4,":",";",LEN($E$4)-LEN(SUBSTITUTE($E$4,":","")))))&amp;RIGHT("0"&amp;(COLUMN()-21),2)</f>
        <v>mkayano2-NetworkAclEntry02</v>
      </c>
    </row>
    <row r="4" spans="1:23">
      <c r="B4" s="26">
        <f t="shared" si="0"/>
        <v>2</v>
      </c>
      <c r="C4" s="17"/>
      <c r="D4" s="22"/>
      <c r="E4" s="29" t="s">
        <v>179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  <c r="W4" s="21"/>
    </row>
    <row r="5" spans="1:23">
      <c r="B5" s="26">
        <f t="shared" si="0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  <c r="W5" s="21"/>
    </row>
    <row r="6" spans="1:23">
      <c r="B6" s="26">
        <f t="shared" si="0"/>
        <v>4</v>
      </c>
      <c r="C6" s="17"/>
      <c r="D6" s="22"/>
      <c r="E6" s="18"/>
      <c r="F6" s="27" t="s">
        <v>145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 t="s">
        <v>236</v>
      </c>
      <c r="W6" s="9" t="s">
        <v>236</v>
      </c>
    </row>
    <row r="7" spans="1:23">
      <c r="B7" s="26">
        <f t="shared" si="0"/>
        <v>5</v>
      </c>
      <c r="C7" s="17"/>
      <c r="D7" s="22"/>
      <c r="E7" s="18"/>
      <c r="F7" s="27" t="s">
        <v>180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147</v>
      </c>
      <c r="T7" s="28" t="s">
        <v>144</v>
      </c>
      <c r="U7" s="9"/>
      <c r="V7" s="9" t="s">
        <v>227</v>
      </c>
      <c r="W7" s="9" t="s">
        <v>238</v>
      </c>
    </row>
    <row r="8" spans="1:23">
      <c r="B8" s="26">
        <f t="shared" si="0"/>
        <v>6</v>
      </c>
      <c r="C8" s="17"/>
      <c r="D8" s="22"/>
      <c r="E8" s="18"/>
      <c r="F8" s="32" t="s">
        <v>181</v>
      </c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4"/>
      <c r="S8" s="33" t="s">
        <v>143</v>
      </c>
      <c r="T8" s="34" t="s">
        <v>144</v>
      </c>
      <c r="U8" s="25"/>
      <c r="V8" s="25"/>
      <c r="W8" s="25"/>
    </row>
    <row r="9" spans="1:23">
      <c r="B9" s="26">
        <f t="shared" si="0"/>
        <v>7</v>
      </c>
      <c r="C9" s="17"/>
      <c r="D9" s="22"/>
      <c r="E9" s="18"/>
      <c r="F9" s="23"/>
      <c r="G9" s="27" t="s">
        <v>182</v>
      </c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159</v>
      </c>
      <c r="T9" s="28" t="s">
        <v>144</v>
      </c>
      <c r="U9" s="9"/>
      <c r="V9" s="9"/>
      <c r="W9" s="9"/>
    </row>
    <row r="10" spans="1:23">
      <c r="B10" s="26">
        <f t="shared" si="0"/>
        <v>8</v>
      </c>
      <c r="C10" s="17"/>
      <c r="D10" s="22"/>
      <c r="E10" s="18"/>
      <c r="F10" s="23"/>
      <c r="G10" s="27" t="s">
        <v>183</v>
      </c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26" t="s">
        <v>159</v>
      </c>
      <c r="T10" s="28" t="s">
        <v>144</v>
      </c>
      <c r="U10" s="9"/>
      <c r="V10" s="9"/>
      <c r="W10" s="9"/>
    </row>
    <row r="11" spans="1:23">
      <c r="B11" s="26">
        <f t="shared" si="0"/>
        <v>9</v>
      </c>
      <c r="C11" s="17"/>
      <c r="D11" s="22"/>
      <c r="E11" s="18"/>
      <c r="F11" s="27" t="s">
        <v>163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26" t="s">
        <v>140</v>
      </c>
      <c r="T11" s="28" t="s">
        <v>144</v>
      </c>
      <c r="U11" s="9"/>
      <c r="V11" s="9"/>
      <c r="W11" s="9"/>
    </row>
    <row r="12" spans="1:23">
      <c r="B12" s="26">
        <f t="shared" si="0"/>
        <v>10</v>
      </c>
      <c r="C12" s="17"/>
      <c r="D12" s="22"/>
      <c r="E12" s="18"/>
      <c r="F12" s="27" t="s">
        <v>184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26" t="s">
        <v>140</v>
      </c>
      <c r="T12" s="28" t="s">
        <v>144</v>
      </c>
      <c r="U12" s="9"/>
      <c r="V12" s="9" t="str">
        <f>NetworkAcl!$V$3</f>
        <v>mkayano2-NetworkAcl</v>
      </c>
      <c r="W12" s="9" t="str">
        <f>NetworkAcl!$V$3</f>
        <v>mkayano2-NetworkAcl</v>
      </c>
    </row>
    <row r="13" spans="1:23">
      <c r="B13" s="26">
        <f t="shared" si="0"/>
        <v>11</v>
      </c>
      <c r="C13" s="17"/>
      <c r="D13" s="22"/>
      <c r="E13" s="18"/>
      <c r="F13" s="32" t="s">
        <v>185</v>
      </c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4"/>
      <c r="S13" s="33" t="s">
        <v>143</v>
      </c>
      <c r="T13" s="34" t="s">
        <v>144</v>
      </c>
      <c r="U13" s="25"/>
      <c r="V13" s="25"/>
      <c r="W13" s="25"/>
    </row>
    <row r="14" spans="1:23">
      <c r="B14" s="26">
        <f t="shared" si="0"/>
        <v>12</v>
      </c>
      <c r="C14" s="17"/>
      <c r="D14" s="22"/>
      <c r="E14" s="18"/>
      <c r="F14" s="23"/>
      <c r="G14" s="27" t="s">
        <v>186</v>
      </c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26" t="s">
        <v>159</v>
      </c>
      <c r="T14" s="28" t="s">
        <v>144</v>
      </c>
      <c r="U14" s="9"/>
      <c r="V14" s="9"/>
      <c r="W14" s="9"/>
    </row>
    <row r="15" spans="1:23">
      <c r="B15" s="26">
        <f t="shared" si="0"/>
        <v>13</v>
      </c>
      <c r="C15" s="17"/>
      <c r="D15" s="22"/>
      <c r="E15" s="18"/>
      <c r="F15" s="23"/>
      <c r="G15" s="27" t="s">
        <v>187</v>
      </c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26" t="s">
        <v>159</v>
      </c>
      <c r="T15" s="28" t="s">
        <v>144</v>
      </c>
      <c r="U15" s="9"/>
      <c r="V15" s="9"/>
      <c r="W15" s="9"/>
    </row>
    <row r="16" spans="1:23">
      <c r="B16" s="26">
        <f t="shared" si="0"/>
        <v>14</v>
      </c>
      <c r="C16" s="17"/>
      <c r="D16" s="22"/>
      <c r="E16" s="18"/>
      <c r="F16" s="27" t="s">
        <v>188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26" t="s">
        <v>159</v>
      </c>
      <c r="T16" s="28" t="s">
        <v>144</v>
      </c>
      <c r="U16" s="9"/>
      <c r="V16" s="9">
        <v>-1</v>
      </c>
      <c r="W16" s="9">
        <v>-1</v>
      </c>
    </row>
    <row r="17" spans="2:23">
      <c r="B17" s="26">
        <f t="shared" si="0"/>
        <v>15</v>
      </c>
      <c r="C17" s="17"/>
      <c r="D17" s="22"/>
      <c r="E17" s="18"/>
      <c r="F17" s="27" t="s">
        <v>189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26" t="s">
        <v>140</v>
      </c>
      <c r="T17" s="28" t="s">
        <v>144</v>
      </c>
      <c r="U17" s="9"/>
      <c r="V17" s="9" t="s">
        <v>237</v>
      </c>
      <c r="W17" s="9" t="s">
        <v>237</v>
      </c>
    </row>
    <row r="18" spans="2:23">
      <c r="B18" s="26">
        <f t="shared" si="0"/>
        <v>16</v>
      </c>
      <c r="C18" s="17"/>
      <c r="D18" s="22"/>
      <c r="E18" s="18"/>
      <c r="F18" s="27" t="s">
        <v>190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26" t="s">
        <v>159</v>
      </c>
      <c r="T18" s="28" t="s">
        <v>144</v>
      </c>
      <c r="U18" s="9"/>
      <c r="V18" s="9">
        <v>32766</v>
      </c>
      <c r="W18" s="9">
        <v>32766</v>
      </c>
    </row>
  </sheetData>
  <phoneticPr fontId="1"/>
  <hyperlinks>
    <hyperlink ref="T4" r:id="rId1" tooltip="http://docs.aws.amazon.com/AWSCloudFormation/latest/UserGuide/aws-resource-ec2-network-acl-entry.html" xr:uid="{5216D9E6-B309-4EE0-A4FC-AEFBC43EDB3C}"/>
    <hyperlink ref="T6" r:id="rId2" location="cfn-ec2-networkaclentry-cidrblock" tooltip="http://docs.aws.amazon.com/AWSCloudFormation/latest/UserGuide/aws-resource-ec2-network-acl-entry.html#cfn-ec2-networkaclentry-cidrblock" xr:uid="{C67F5426-D792-47EA-9474-4B5BE2B9F0E4}"/>
    <hyperlink ref="T7" r:id="rId3" location="cfn-ec2-networkaclentry-egress" tooltip="http://docs.aws.amazon.com/AWSCloudFormation/latest/UserGuide/aws-resource-ec2-network-acl-entry.html#cfn-ec2-networkaclentry-egress" xr:uid="{0716056D-B625-4AF3-8448-9B710E3F7AE6}"/>
    <hyperlink ref="T8" r:id="rId4" location="cfn-ec2-networkaclentry-icmp" tooltip="http://docs.aws.amazon.com/AWSCloudFormation/latest/UserGuide/aws-resource-ec2-network-acl-entry.html#cfn-ec2-networkaclentry-icmp" xr:uid="{F996F758-782F-40E8-A6FB-495B4FA58C09}"/>
    <hyperlink ref="T9" r:id="rId5" location="cfn-ec2-networkaclentry-icmp-code" tooltip="http://docs.aws.amazon.com/AWSCloudFormation/latest/UserGuide/aws-properties-ec2-networkaclentry-icmp.html#cfn-ec2-networkaclentry-icmp-code" xr:uid="{B6E4E9EC-295E-4963-AD07-CF47F61589A6}"/>
    <hyperlink ref="T10" r:id="rId6" location="cfn-ec2-networkaclentry-icmp-type" tooltip="http://docs.aws.amazon.com/AWSCloudFormation/latest/UserGuide/aws-properties-ec2-networkaclentry-icmp.html#cfn-ec2-networkaclentry-icmp-type" xr:uid="{3857CC6A-4AFA-4C6B-A9D2-AB983A641B57}"/>
    <hyperlink ref="T11" r:id="rId7" location="cfn-ec2-networkaclentry-ipv6cidrblock" tooltip="http://docs.aws.amazon.com/AWSCloudFormation/latest/UserGuide/aws-resource-ec2-network-acl-entry.html#cfn-ec2-networkaclentry-ipv6cidrblock" xr:uid="{CD789939-12D7-484B-A41F-601301E795A8}"/>
    <hyperlink ref="T12" r:id="rId8" location="cfn-ec2-networkaclentry-networkaclid" tooltip="http://docs.aws.amazon.com/AWSCloudFormation/latest/UserGuide/aws-resource-ec2-network-acl-entry.html#cfn-ec2-networkaclentry-networkaclid" xr:uid="{15C6490C-8BA8-46B5-8570-FC9928EB39B0}"/>
    <hyperlink ref="T13" r:id="rId9" location="cfn-ec2-networkaclentry-portrange" tooltip="http://docs.aws.amazon.com/AWSCloudFormation/latest/UserGuide/aws-resource-ec2-network-acl-entry.html#cfn-ec2-networkaclentry-portrange" xr:uid="{6B0F8972-70A5-489F-AFB1-C0E315A3BDE6}"/>
    <hyperlink ref="T14" r:id="rId10" location="cfn-ec2-networkaclentry-portrange-from" tooltip="http://docs.aws.amazon.com/AWSCloudFormation/latest/UserGuide/aws-properties-ec2-networkaclentry-portrange.html#cfn-ec2-networkaclentry-portrange-from" xr:uid="{BB1CF79E-3FC0-4755-99E9-D4D450A0226C}"/>
    <hyperlink ref="T15" r:id="rId11" location="cfn-ec2-networkaclentry-portrange-to" tooltip="http://docs.aws.amazon.com/AWSCloudFormation/latest/UserGuide/aws-properties-ec2-networkaclentry-portrange.html#cfn-ec2-networkaclentry-portrange-to" xr:uid="{57AE1935-F65F-4B48-B750-8407A977E1C1}"/>
    <hyperlink ref="T16" r:id="rId12" location="cfn-ec2-networkaclentry-protocol" tooltip="http://docs.aws.amazon.com/AWSCloudFormation/latest/UserGuide/aws-resource-ec2-network-acl-entry.html#cfn-ec2-networkaclentry-protocol" xr:uid="{6F416EE6-8B28-4D92-8BF7-6366FD7D5B45}"/>
    <hyperlink ref="T17" r:id="rId13" location="cfn-ec2-networkaclentry-ruleaction" tooltip="http://docs.aws.amazon.com/AWSCloudFormation/latest/UserGuide/aws-resource-ec2-network-acl-entry.html#cfn-ec2-networkaclentry-ruleaction" xr:uid="{1D3281AC-9AB6-422B-AFA6-2AE118A9BBDA}"/>
    <hyperlink ref="T18" r:id="rId14" location="cfn-ec2-networkaclentry-rulenumber" tooltip="http://docs.aws.amazon.com/AWSCloudFormation/latest/UserGuide/aws-resource-ec2-network-acl-entry.html#cfn-ec2-networkaclentry-rulenumber" xr:uid="{ED4FE898-9293-44E0-89EA-FD11E3A869D1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EC610-6CD7-4B0B-B909-3B39C0CF3728}">
  <dimension ref="A1:AA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4" sqref="V4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46.875" bestFit="1" customWidth="1"/>
    <col min="23" max="27" width="46.875" style="8" bestFit="1" customWidth="1"/>
  </cols>
  <sheetData>
    <row r="1" spans="1:27">
      <c r="A1" s="14" t="s">
        <v>138</v>
      </c>
    </row>
    <row r="2" spans="1:27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26">
        <f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Setting!$D$10&amp;"-"&amp;RIGHT($E$4,LEN($E$4)-FIND(";",SUBSTITUTE($E$4,":",";",LEN($E$4)-LEN(SUBSTITUTE($E$4,":","")))))&amp;RIGHT("0"&amp;(COLUMN()-21),2)</f>
        <v>mkayano2-SubnetNetworkAclAssociation01</v>
      </c>
      <c r="W3" s="9" t="str">
        <f>Setting!$D$10&amp;"-"&amp;RIGHT($E$4,LEN($E$4)-FIND(";",SUBSTITUTE($E$4,":",";",LEN($E$4)-LEN(SUBSTITUTE($E$4,":","")))))&amp;RIGHT("0"&amp;(COLUMN()-21),2)</f>
        <v>mkayano2-SubnetNetworkAclAssociation02</v>
      </c>
      <c r="X3" s="9" t="str">
        <f>Setting!$D$10&amp;"-"&amp;RIGHT($E$4,LEN($E$4)-FIND(";",SUBSTITUTE($E$4,":",";",LEN($E$4)-LEN(SUBSTITUTE($E$4,":","")))))&amp;RIGHT("0"&amp;(COLUMN()-21),2)</f>
        <v>mkayano2-SubnetNetworkAclAssociation03</v>
      </c>
      <c r="Y3" s="9" t="str">
        <f>Setting!$D$10&amp;"-"&amp;RIGHT($E$4,LEN($E$4)-FIND(";",SUBSTITUTE($E$4,":",";",LEN($E$4)-LEN(SUBSTITUTE($E$4,":","")))))&amp;RIGHT("0"&amp;(COLUMN()-21),2)</f>
        <v>mkayano2-SubnetNetworkAclAssociation04</v>
      </c>
      <c r="Z3" s="9" t="str">
        <f>Setting!$D$10&amp;"-"&amp;RIGHT($E$4,LEN($E$4)-FIND(";",SUBSTITUTE($E$4,":",";",LEN($E$4)-LEN(SUBSTITUTE($E$4,":","")))))&amp;RIGHT("0"&amp;(COLUMN()-21),2)</f>
        <v>mkayano2-SubnetNetworkAclAssociation05</v>
      </c>
      <c r="AA3" s="9" t="str">
        <f>Setting!$D$10&amp;"-"&amp;RIGHT($E$4,LEN($E$4)-FIND(";",SUBSTITUTE($E$4,":",";",LEN($E$4)-LEN(SUBSTITUTE($E$4,":","")))))&amp;RIGHT("0"&amp;(COLUMN()-21),2)</f>
        <v>mkayano2-SubnetNetworkAclAssociation06</v>
      </c>
    </row>
    <row r="4" spans="1:27">
      <c r="B4" s="26">
        <f>ROW()-2</f>
        <v>2</v>
      </c>
      <c r="C4" s="17"/>
      <c r="D4" s="22"/>
      <c r="E4" s="29" t="s">
        <v>191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  <c r="W4" s="21"/>
      <c r="X4" s="21"/>
      <c r="Y4" s="21"/>
      <c r="Z4" s="21"/>
      <c r="AA4" s="21"/>
    </row>
    <row r="5" spans="1:27">
      <c r="B5" s="26">
        <f>ROW()-2</f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  <c r="W5" s="21"/>
      <c r="X5" s="21"/>
      <c r="Y5" s="21"/>
      <c r="Z5" s="21"/>
      <c r="AA5" s="21"/>
    </row>
    <row r="6" spans="1:27">
      <c r="B6" s="26">
        <f>ROW()-2</f>
        <v>4</v>
      </c>
      <c r="C6" s="17"/>
      <c r="D6" s="22"/>
      <c r="E6" s="18"/>
      <c r="F6" s="27" t="s">
        <v>184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 t="str">
        <f>NetworkAcl!$V$3</f>
        <v>mkayano2-NetworkAcl</v>
      </c>
      <c r="W6" s="9" t="str">
        <f>NetworkAcl!$V$3</f>
        <v>mkayano2-NetworkAcl</v>
      </c>
      <c r="X6" s="9" t="str">
        <f>NetworkAcl!$V$3</f>
        <v>mkayano2-NetworkAcl</v>
      </c>
      <c r="Y6" s="9" t="str">
        <f>NetworkAcl!$V$3</f>
        <v>mkayano2-NetworkAcl</v>
      </c>
      <c r="Z6" s="9" t="str">
        <f>NetworkAcl!$V$3</f>
        <v>mkayano2-NetworkAcl</v>
      </c>
      <c r="AA6" s="9" t="str">
        <f>NetworkAcl!$V$3</f>
        <v>mkayano2-NetworkAcl</v>
      </c>
    </row>
    <row r="7" spans="1:27">
      <c r="B7" s="26">
        <f>ROW()-2</f>
        <v>5</v>
      </c>
      <c r="C7" s="17"/>
      <c r="D7" s="22"/>
      <c r="E7" s="18"/>
      <c r="F7" s="27" t="s">
        <v>177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 t="str">
        <f>Subnet!V$3</f>
        <v>mkayano2-Subnet-Private01</v>
      </c>
      <c r="W7" s="9" t="str">
        <f>Subnet!W$3</f>
        <v>mkayano2-Subnet-Private02</v>
      </c>
      <c r="X7" s="9" t="str">
        <f>Subnet!X$3</f>
        <v>mkayano2-Subnet-Private03</v>
      </c>
      <c r="Y7" s="9" t="str">
        <f>Subnet!Y$3</f>
        <v>mkayano2-Subnet-Public01</v>
      </c>
      <c r="Z7" s="9" t="str">
        <f>Subnet!Z$3</f>
        <v>mkayano2-Subnet-Public02</v>
      </c>
      <c r="AA7" s="9" t="str">
        <f>Subnet!AA$3</f>
        <v>mkayano2-Subnet-Public03</v>
      </c>
    </row>
  </sheetData>
  <phoneticPr fontId="1"/>
  <hyperlinks>
    <hyperlink ref="T4" r:id="rId1" tooltip="http://docs.aws.amazon.com/AWSCloudFormation/latest/UserGuide/aws-resource-ec2-subnet-network-acl-assoc.html" xr:uid="{26904DEC-3D18-4F09-8E7B-65F040F68C6E}"/>
    <hyperlink ref="T6" r:id="rId2" location="cfn-ec2-subnetnetworkaclassociation-networkaclid" tooltip="http://docs.aws.amazon.com/AWSCloudFormation/latest/UserGuide/aws-resource-ec2-subnet-network-acl-assoc.html#cfn-ec2-subnetnetworkaclassociation-networkaclid" xr:uid="{5A62A7E4-67FB-4DED-957D-832DB6A3186B}"/>
    <hyperlink ref="T7" r:id="rId3" location="cfn-ec2-subnetnetworkaclassociation-associationid" tooltip="http://docs.aws.amazon.com/AWSCloudFormation/latest/UserGuide/aws-resource-ec2-subnet-network-acl-assoc.html#cfn-ec2-subnetnetworkaclassociation-associationid" xr:uid="{20F7DB3A-860B-4EE9-894B-2C9923BFA5BF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A287-A31B-4665-8A44-769653E202BB}">
  <dimension ref="A1:X5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E74" sqref="E74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4" width="44" style="8" bestFit="1" customWidth="1"/>
    <col min="25" max="16384" width="9" style="8"/>
  </cols>
  <sheetData>
    <row r="1" spans="1:24">
      <c r="A1" s="14" t="s">
        <v>138</v>
      </c>
    </row>
    <row r="2" spans="1:24">
      <c r="B2" s="7" t="s">
        <v>152</v>
      </c>
      <c r="C2" s="7" t="s">
        <v>153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154</v>
      </c>
      <c r="T2" s="7" t="s">
        <v>155</v>
      </c>
      <c r="U2" s="7" t="s">
        <v>138</v>
      </c>
      <c r="V2" s="7" t="str">
        <f>"Value" &amp; COLUMN() -  21</f>
        <v>Value1</v>
      </c>
      <c r="W2" s="7" t="str">
        <f>"Value" &amp; COLUMN() -  21</f>
        <v>Value2</v>
      </c>
      <c r="X2" s="7" t="str">
        <f>"Value" &amp; COLUMN() -  21</f>
        <v>Value3</v>
      </c>
    </row>
    <row r="3" spans="1:24">
      <c r="B3" s="26">
        <f t="shared" ref="B3:B34" si="0">ROW()-2</f>
        <v>1</v>
      </c>
      <c r="C3" s="17"/>
      <c r="D3" s="27" t="s">
        <v>139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26" t="s">
        <v>140</v>
      </c>
      <c r="T3" s="9" t="s">
        <v>141</v>
      </c>
      <c r="U3" s="9"/>
      <c r="V3" s="9" t="str">
        <f>Setting!$D$10&amp;"-"&amp;RIGHT($E$4,LEN($E$4)-FIND(";",SUBSTITUTE($E$4,":",";",LEN($E$4)-LEN(SUBSTITUTE($E$4,":","")))))&amp;"-nat-bastion"</f>
        <v>mkayano2-SecurityGroup-nat-bastion</v>
      </c>
      <c r="W3" s="9" t="str">
        <f>Setting!$D$10&amp;"-"&amp;RIGHT($E$4,LEN($E$4)-FIND(";",SUBSTITUTE($E$4,":",";",LEN($E$4)-LEN(SUBSTITUTE($E$4,":","")))))&amp;"-prometheus"</f>
        <v>mkayano2-SecurityGroup-prometheus</v>
      </c>
      <c r="X3" s="9" t="str">
        <f>Setting!$D$10&amp;"-"&amp;RIGHT($E$4,LEN($E$4)-FIND(";",SUBSTITUTE($E$4,":",";",LEN($E$4)-LEN(SUBSTITUTE($E$4,":","")))))&amp;"-AMP-Endpoint"</f>
        <v>mkayano2-SecurityGroup-AMP-Endpoint</v>
      </c>
    </row>
    <row r="4" spans="1:24">
      <c r="B4" s="26">
        <f t="shared" si="0"/>
        <v>2</v>
      </c>
      <c r="C4" s="17"/>
      <c r="D4" s="22"/>
      <c r="E4" s="29" t="s">
        <v>289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0" t="s">
        <v>143</v>
      </c>
      <c r="T4" s="31" t="s">
        <v>144</v>
      </c>
      <c r="U4" s="21"/>
      <c r="V4" s="21"/>
      <c r="W4" s="21"/>
      <c r="X4" s="21"/>
    </row>
    <row r="5" spans="1:24">
      <c r="B5" s="26">
        <f t="shared" si="0"/>
        <v>3</v>
      </c>
      <c r="C5" s="17"/>
      <c r="D5" s="22"/>
      <c r="E5" s="29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0" t="s">
        <v>143</v>
      </c>
      <c r="T5" s="20" t="s">
        <v>143</v>
      </c>
      <c r="U5" s="21"/>
      <c r="V5" s="21"/>
      <c r="W5" s="21"/>
      <c r="X5" s="21"/>
    </row>
    <row r="6" spans="1:24">
      <c r="B6" s="26">
        <f t="shared" si="0"/>
        <v>4</v>
      </c>
      <c r="C6" s="17"/>
      <c r="D6" s="22"/>
      <c r="E6" s="18"/>
      <c r="F6" s="27" t="s">
        <v>288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26" t="s">
        <v>140</v>
      </c>
      <c r="T6" s="28" t="s">
        <v>144</v>
      </c>
      <c r="U6" s="9"/>
      <c r="V6" s="9" t="str">
        <f t="shared" ref="V6:X7" si="1">V$3</f>
        <v>mkayano2-SecurityGroup-nat-bastion</v>
      </c>
      <c r="W6" s="9" t="str">
        <f t="shared" si="1"/>
        <v>mkayano2-SecurityGroup-prometheus</v>
      </c>
      <c r="X6" s="9" t="str">
        <f t="shared" si="1"/>
        <v>mkayano2-SecurityGroup-AMP-Endpoint</v>
      </c>
    </row>
    <row r="7" spans="1:24">
      <c r="B7" s="26">
        <f t="shared" si="0"/>
        <v>5</v>
      </c>
      <c r="C7" s="17"/>
      <c r="D7" s="22"/>
      <c r="E7" s="18"/>
      <c r="F7" s="27" t="s">
        <v>287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26" t="s">
        <v>140</v>
      </c>
      <c r="T7" s="28" t="s">
        <v>144</v>
      </c>
      <c r="U7" s="9"/>
      <c r="V7" s="9" t="str">
        <f t="shared" si="1"/>
        <v>mkayano2-SecurityGroup-nat-bastion</v>
      </c>
      <c r="W7" s="9" t="str">
        <f t="shared" si="1"/>
        <v>mkayano2-SecurityGroup-prometheus</v>
      </c>
      <c r="X7" s="9" t="str">
        <f t="shared" si="1"/>
        <v>mkayano2-SecurityGroup-AMP-Endpoint</v>
      </c>
    </row>
    <row r="8" spans="1:24">
      <c r="B8" s="26">
        <f t="shared" si="0"/>
        <v>6</v>
      </c>
      <c r="C8" s="17"/>
      <c r="D8" s="22"/>
      <c r="E8" s="18"/>
      <c r="F8" s="32" t="s">
        <v>286</v>
      </c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4"/>
      <c r="S8" s="33" t="s">
        <v>143</v>
      </c>
      <c r="T8" s="34" t="s">
        <v>144</v>
      </c>
      <c r="U8" s="25"/>
      <c r="V8" s="25"/>
      <c r="W8" s="25"/>
      <c r="X8" s="25"/>
    </row>
    <row r="9" spans="1:24">
      <c r="B9" s="26">
        <f t="shared" si="0"/>
        <v>7</v>
      </c>
      <c r="C9" s="17"/>
      <c r="D9" s="22"/>
      <c r="E9" s="18"/>
      <c r="F9" s="23"/>
      <c r="G9" s="36" t="s">
        <v>150</v>
      </c>
      <c r="H9" s="27" t="s">
        <v>281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26" t="s">
        <v>140</v>
      </c>
      <c r="T9" s="28" t="s">
        <v>144</v>
      </c>
      <c r="U9" s="9"/>
      <c r="V9" s="9" t="s">
        <v>285</v>
      </c>
      <c r="W9" s="9" t="s">
        <v>285</v>
      </c>
      <c r="X9" s="9" t="s">
        <v>285</v>
      </c>
    </row>
    <row r="10" spans="1:24">
      <c r="B10" s="26">
        <f t="shared" si="0"/>
        <v>8</v>
      </c>
      <c r="C10" s="17"/>
      <c r="D10" s="22"/>
      <c r="E10" s="18"/>
      <c r="F10" s="23"/>
      <c r="G10" s="15"/>
      <c r="H10" s="27" t="s">
        <v>280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26" t="s">
        <v>140</v>
      </c>
      <c r="T10" s="28" t="s">
        <v>144</v>
      </c>
      <c r="U10" s="9"/>
      <c r="V10" s="9"/>
      <c r="W10" s="9"/>
      <c r="X10" s="9"/>
    </row>
    <row r="11" spans="1:24">
      <c r="B11" s="26">
        <f t="shared" si="0"/>
        <v>9</v>
      </c>
      <c r="C11" s="17"/>
      <c r="D11" s="22"/>
      <c r="E11" s="18"/>
      <c r="F11" s="23"/>
      <c r="G11" s="15"/>
      <c r="H11" s="27" t="s">
        <v>279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26" t="s">
        <v>140</v>
      </c>
      <c r="T11" s="28" t="s">
        <v>144</v>
      </c>
      <c r="U11" s="9"/>
      <c r="V11" s="9"/>
      <c r="W11" s="9"/>
      <c r="X11" s="9"/>
    </row>
    <row r="12" spans="1:24">
      <c r="B12" s="26">
        <f t="shared" si="0"/>
        <v>10</v>
      </c>
      <c r="C12" s="17"/>
      <c r="D12" s="22"/>
      <c r="E12" s="18"/>
      <c r="F12" s="23"/>
      <c r="G12" s="15"/>
      <c r="H12" s="27" t="s">
        <v>284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26" t="s">
        <v>140</v>
      </c>
      <c r="T12" s="28" t="s">
        <v>144</v>
      </c>
      <c r="U12" s="9"/>
      <c r="V12" s="9"/>
      <c r="W12" s="9"/>
      <c r="X12" s="9"/>
    </row>
    <row r="13" spans="1:24">
      <c r="B13" s="26">
        <f t="shared" si="0"/>
        <v>11</v>
      </c>
      <c r="C13" s="17"/>
      <c r="D13" s="22"/>
      <c r="E13" s="18"/>
      <c r="F13" s="23"/>
      <c r="G13" s="15"/>
      <c r="H13" s="27" t="s">
        <v>283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26" t="s">
        <v>140</v>
      </c>
      <c r="T13" s="28" t="s">
        <v>144</v>
      </c>
      <c r="U13" s="9"/>
      <c r="V13" s="9"/>
      <c r="W13" s="9"/>
      <c r="X13" s="9"/>
    </row>
    <row r="14" spans="1:24">
      <c r="B14" s="26">
        <f t="shared" si="0"/>
        <v>12</v>
      </c>
      <c r="C14" s="17"/>
      <c r="D14" s="22"/>
      <c r="E14" s="18"/>
      <c r="F14" s="23"/>
      <c r="G14" s="15"/>
      <c r="H14" s="27" t="s">
        <v>278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26" t="s">
        <v>159</v>
      </c>
      <c r="T14" s="28" t="s">
        <v>144</v>
      </c>
      <c r="U14" s="9"/>
      <c r="V14" s="9"/>
      <c r="W14" s="9"/>
      <c r="X14" s="9"/>
    </row>
    <row r="15" spans="1:24">
      <c r="B15" s="26">
        <f t="shared" si="0"/>
        <v>13</v>
      </c>
      <c r="C15" s="17"/>
      <c r="D15" s="22"/>
      <c r="E15" s="18"/>
      <c r="F15" s="23"/>
      <c r="G15" s="15"/>
      <c r="H15" s="27" t="s">
        <v>277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26" t="s">
        <v>140</v>
      </c>
      <c r="T15" s="28" t="s">
        <v>144</v>
      </c>
      <c r="U15" s="9"/>
      <c r="V15" s="9">
        <v>-1</v>
      </c>
      <c r="W15" s="9">
        <v>-1</v>
      </c>
      <c r="X15" s="9">
        <v>-1</v>
      </c>
    </row>
    <row r="16" spans="1:24">
      <c r="B16" s="26">
        <f t="shared" si="0"/>
        <v>14</v>
      </c>
      <c r="C16" s="17"/>
      <c r="D16" s="22"/>
      <c r="E16" s="18"/>
      <c r="F16" s="23"/>
      <c r="G16" s="15"/>
      <c r="H16" s="27" t="s">
        <v>272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26" t="s">
        <v>159</v>
      </c>
      <c r="T16" s="28" t="s">
        <v>144</v>
      </c>
      <c r="U16" s="9"/>
      <c r="V16" s="9"/>
      <c r="W16" s="9"/>
      <c r="X16" s="9"/>
    </row>
    <row r="17" spans="2:24">
      <c r="B17" s="26">
        <f t="shared" si="0"/>
        <v>15</v>
      </c>
      <c r="C17" s="17"/>
      <c r="D17" s="22"/>
      <c r="E17" s="18"/>
      <c r="F17" s="23"/>
      <c r="G17" s="36" t="s">
        <v>150</v>
      </c>
      <c r="H17" s="27" t="s">
        <v>281</v>
      </c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26" t="s">
        <v>140</v>
      </c>
      <c r="T17" s="28" t="s">
        <v>144</v>
      </c>
      <c r="U17" s="9"/>
      <c r="V17" s="9"/>
      <c r="W17" s="9"/>
      <c r="X17" s="9"/>
    </row>
    <row r="18" spans="2:24">
      <c r="B18" s="26">
        <f t="shared" si="0"/>
        <v>16</v>
      </c>
      <c r="C18" s="17"/>
      <c r="D18" s="22"/>
      <c r="E18" s="18"/>
      <c r="F18" s="23"/>
      <c r="G18" s="15"/>
      <c r="H18" s="27" t="s">
        <v>280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26" t="s">
        <v>140</v>
      </c>
      <c r="T18" s="28" t="s">
        <v>144</v>
      </c>
      <c r="U18" s="9"/>
      <c r="V18" s="9"/>
      <c r="W18" s="9"/>
      <c r="X18" s="9"/>
    </row>
    <row r="19" spans="2:24">
      <c r="B19" s="26">
        <f t="shared" si="0"/>
        <v>17</v>
      </c>
      <c r="C19" s="17"/>
      <c r="D19" s="22"/>
      <c r="E19" s="18"/>
      <c r="F19" s="23"/>
      <c r="G19" s="15"/>
      <c r="H19" s="27" t="s">
        <v>279</v>
      </c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26" t="s">
        <v>140</v>
      </c>
      <c r="T19" s="28" t="s">
        <v>144</v>
      </c>
      <c r="U19" s="9"/>
      <c r="V19" s="9"/>
      <c r="W19" s="9"/>
      <c r="X19" s="9"/>
    </row>
    <row r="20" spans="2:24">
      <c r="B20" s="26">
        <f t="shared" si="0"/>
        <v>18</v>
      </c>
      <c r="C20" s="17"/>
      <c r="D20" s="22"/>
      <c r="E20" s="18"/>
      <c r="F20" s="23"/>
      <c r="G20" s="15"/>
      <c r="H20" s="27" t="s">
        <v>284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26" t="s">
        <v>140</v>
      </c>
      <c r="T20" s="28" t="s">
        <v>144</v>
      </c>
      <c r="U20" s="9"/>
      <c r="V20" s="9"/>
      <c r="W20" s="9"/>
      <c r="X20" s="9"/>
    </row>
    <row r="21" spans="2:24">
      <c r="B21" s="26">
        <f t="shared" si="0"/>
        <v>19</v>
      </c>
      <c r="C21" s="17"/>
      <c r="D21" s="22"/>
      <c r="E21" s="18"/>
      <c r="F21" s="23"/>
      <c r="G21" s="15"/>
      <c r="H21" s="27" t="s">
        <v>283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26" t="s">
        <v>140</v>
      </c>
      <c r="T21" s="28" t="s">
        <v>144</v>
      </c>
      <c r="U21" s="9"/>
      <c r="V21" s="9"/>
      <c r="W21" s="9"/>
      <c r="X21" s="9"/>
    </row>
    <row r="22" spans="2:24">
      <c r="B22" s="26">
        <f t="shared" si="0"/>
        <v>20</v>
      </c>
      <c r="C22" s="17"/>
      <c r="D22" s="22"/>
      <c r="E22" s="18"/>
      <c r="F22" s="23"/>
      <c r="G22" s="15"/>
      <c r="H22" s="27" t="s">
        <v>278</v>
      </c>
      <c r="I22" s="15"/>
      <c r="J22" s="15"/>
      <c r="K22" s="15"/>
      <c r="L22" s="15"/>
      <c r="M22" s="15"/>
      <c r="N22" s="15"/>
      <c r="O22" s="15"/>
      <c r="P22" s="15"/>
      <c r="Q22" s="15"/>
      <c r="R22" s="16"/>
      <c r="S22" s="26" t="s">
        <v>159</v>
      </c>
      <c r="T22" s="28" t="s">
        <v>144</v>
      </c>
      <c r="U22" s="9"/>
      <c r="V22" s="9"/>
      <c r="W22" s="9"/>
      <c r="X22" s="9"/>
    </row>
    <row r="23" spans="2:24">
      <c r="B23" s="26">
        <f t="shared" si="0"/>
        <v>21</v>
      </c>
      <c r="C23" s="17"/>
      <c r="D23" s="22"/>
      <c r="E23" s="18"/>
      <c r="F23" s="23"/>
      <c r="G23" s="15"/>
      <c r="H23" s="27" t="s">
        <v>277</v>
      </c>
      <c r="I23" s="15"/>
      <c r="J23" s="15"/>
      <c r="K23" s="15"/>
      <c r="L23" s="15"/>
      <c r="M23" s="15"/>
      <c r="N23" s="15"/>
      <c r="O23" s="15"/>
      <c r="P23" s="15"/>
      <c r="Q23" s="15"/>
      <c r="R23" s="16"/>
      <c r="S23" s="26" t="s">
        <v>140</v>
      </c>
      <c r="T23" s="28" t="s">
        <v>144</v>
      </c>
      <c r="U23" s="9"/>
      <c r="V23" s="9"/>
      <c r="W23" s="9"/>
      <c r="X23" s="9"/>
    </row>
    <row r="24" spans="2:24">
      <c r="B24" s="26">
        <f t="shared" si="0"/>
        <v>22</v>
      </c>
      <c r="C24" s="17"/>
      <c r="D24" s="22"/>
      <c r="E24" s="18"/>
      <c r="F24" s="23"/>
      <c r="G24" s="15"/>
      <c r="H24" s="27" t="s">
        <v>272</v>
      </c>
      <c r="I24" s="15"/>
      <c r="J24" s="15"/>
      <c r="K24" s="15"/>
      <c r="L24" s="15"/>
      <c r="M24" s="15"/>
      <c r="N24" s="15"/>
      <c r="O24" s="15"/>
      <c r="P24" s="15"/>
      <c r="Q24" s="15"/>
      <c r="R24" s="16"/>
      <c r="S24" s="26" t="s">
        <v>159</v>
      </c>
      <c r="T24" s="28" t="s">
        <v>144</v>
      </c>
      <c r="U24" s="9"/>
      <c r="V24" s="9"/>
      <c r="W24" s="9"/>
      <c r="X24" s="9"/>
    </row>
    <row r="25" spans="2:24">
      <c r="B25" s="26">
        <f t="shared" si="0"/>
        <v>23</v>
      </c>
      <c r="C25" s="17"/>
      <c r="D25" s="22"/>
      <c r="E25" s="18"/>
      <c r="F25" s="32" t="s">
        <v>282</v>
      </c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33" t="s">
        <v>143</v>
      </c>
      <c r="T25" s="34" t="s">
        <v>144</v>
      </c>
      <c r="U25" s="25"/>
      <c r="V25" s="25"/>
      <c r="W25" s="25"/>
      <c r="X25" s="25"/>
    </row>
    <row r="26" spans="2:24">
      <c r="B26" s="26">
        <f t="shared" si="0"/>
        <v>24</v>
      </c>
      <c r="C26" s="17"/>
      <c r="D26" s="22"/>
      <c r="E26" s="18"/>
      <c r="F26" s="23"/>
      <c r="G26" s="36" t="s">
        <v>150</v>
      </c>
      <c r="H26" s="27" t="s">
        <v>281</v>
      </c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26" t="s">
        <v>140</v>
      </c>
      <c r="T26" s="28" t="s">
        <v>144</v>
      </c>
      <c r="U26" s="9"/>
      <c r="V26" s="9"/>
      <c r="W26" s="9"/>
      <c r="X26" s="9"/>
    </row>
    <row r="27" spans="2:24">
      <c r="B27" s="26">
        <f t="shared" si="0"/>
        <v>25</v>
      </c>
      <c r="C27" s="17"/>
      <c r="D27" s="22"/>
      <c r="E27" s="18"/>
      <c r="F27" s="23"/>
      <c r="G27" s="15"/>
      <c r="H27" s="27" t="s">
        <v>280</v>
      </c>
      <c r="I27" s="15"/>
      <c r="J27" s="15"/>
      <c r="K27" s="15"/>
      <c r="L27" s="15"/>
      <c r="M27" s="15"/>
      <c r="N27" s="15"/>
      <c r="O27" s="15"/>
      <c r="P27" s="15"/>
      <c r="Q27" s="15"/>
      <c r="R27" s="16"/>
      <c r="S27" s="26" t="s">
        <v>140</v>
      </c>
      <c r="T27" s="28" t="s">
        <v>144</v>
      </c>
      <c r="U27" s="9"/>
      <c r="V27" s="9"/>
      <c r="W27" s="9"/>
      <c r="X27" s="9"/>
    </row>
    <row r="28" spans="2:24">
      <c r="B28" s="26">
        <f t="shared" si="0"/>
        <v>26</v>
      </c>
      <c r="C28" s="17"/>
      <c r="D28" s="22"/>
      <c r="E28" s="18"/>
      <c r="F28" s="23"/>
      <c r="G28" s="15"/>
      <c r="H28" s="27" t="s">
        <v>279</v>
      </c>
      <c r="I28" s="15"/>
      <c r="J28" s="15"/>
      <c r="K28" s="15"/>
      <c r="L28" s="15"/>
      <c r="M28" s="15"/>
      <c r="N28" s="15"/>
      <c r="O28" s="15"/>
      <c r="P28" s="15"/>
      <c r="Q28" s="15"/>
      <c r="R28" s="16"/>
      <c r="S28" s="26" t="s">
        <v>140</v>
      </c>
      <c r="T28" s="28" t="s">
        <v>144</v>
      </c>
      <c r="U28" s="9"/>
      <c r="V28" s="9"/>
      <c r="W28" s="9"/>
      <c r="X28" s="9"/>
    </row>
    <row r="29" spans="2:24">
      <c r="B29" s="26">
        <f t="shared" si="0"/>
        <v>27</v>
      </c>
      <c r="C29" s="17"/>
      <c r="D29" s="22"/>
      <c r="E29" s="18"/>
      <c r="F29" s="23"/>
      <c r="G29" s="15"/>
      <c r="H29" s="27" t="s">
        <v>278</v>
      </c>
      <c r="I29" s="15"/>
      <c r="J29" s="15"/>
      <c r="K29" s="15"/>
      <c r="L29" s="15"/>
      <c r="M29" s="15"/>
      <c r="N29" s="15"/>
      <c r="O29" s="15"/>
      <c r="P29" s="15"/>
      <c r="Q29" s="15"/>
      <c r="R29" s="16"/>
      <c r="S29" s="26" t="s">
        <v>159</v>
      </c>
      <c r="T29" s="28" t="s">
        <v>144</v>
      </c>
      <c r="U29" s="9"/>
      <c r="V29" s="9"/>
      <c r="W29" s="9"/>
      <c r="X29" s="9"/>
    </row>
    <row r="30" spans="2:24">
      <c r="B30" s="26">
        <f t="shared" si="0"/>
        <v>28</v>
      </c>
      <c r="C30" s="17"/>
      <c r="D30" s="22"/>
      <c r="E30" s="18"/>
      <c r="F30" s="23"/>
      <c r="G30" s="15"/>
      <c r="H30" s="27" t="s">
        <v>277</v>
      </c>
      <c r="I30" s="15"/>
      <c r="J30" s="15"/>
      <c r="K30" s="15"/>
      <c r="L30" s="15"/>
      <c r="M30" s="15"/>
      <c r="N30" s="15"/>
      <c r="O30" s="15"/>
      <c r="P30" s="15"/>
      <c r="Q30" s="15"/>
      <c r="R30" s="16"/>
      <c r="S30" s="26" t="s">
        <v>140</v>
      </c>
      <c r="T30" s="28" t="s">
        <v>144</v>
      </c>
      <c r="U30" s="9"/>
      <c r="V30" s="9"/>
      <c r="W30" s="9"/>
      <c r="X30" s="9"/>
    </row>
    <row r="31" spans="2:24">
      <c r="B31" s="26">
        <f t="shared" si="0"/>
        <v>29</v>
      </c>
      <c r="C31" s="17"/>
      <c r="D31" s="22"/>
      <c r="E31" s="18"/>
      <c r="F31" s="23"/>
      <c r="G31" s="15"/>
      <c r="H31" s="27" t="s">
        <v>276</v>
      </c>
      <c r="I31" s="15"/>
      <c r="J31" s="15"/>
      <c r="K31" s="15"/>
      <c r="L31" s="15"/>
      <c r="M31" s="15"/>
      <c r="N31" s="15"/>
      <c r="O31" s="15"/>
      <c r="P31" s="15"/>
      <c r="Q31" s="15"/>
      <c r="R31" s="16"/>
      <c r="S31" s="26" t="s">
        <v>140</v>
      </c>
      <c r="T31" s="28" t="s">
        <v>144</v>
      </c>
      <c r="U31" s="9"/>
      <c r="V31" s="9"/>
      <c r="W31" s="9"/>
      <c r="X31" s="9"/>
    </row>
    <row r="32" spans="2:24">
      <c r="B32" s="26">
        <f t="shared" si="0"/>
        <v>30</v>
      </c>
      <c r="C32" s="17"/>
      <c r="D32" s="22"/>
      <c r="E32" s="18"/>
      <c r="F32" s="23"/>
      <c r="G32" s="15"/>
      <c r="H32" s="27" t="s">
        <v>275</v>
      </c>
      <c r="I32" s="15"/>
      <c r="J32" s="15"/>
      <c r="K32" s="15"/>
      <c r="L32" s="15"/>
      <c r="M32" s="15"/>
      <c r="N32" s="15"/>
      <c r="O32" s="15"/>
      <c r="P32" s="15"/>
      <c r="Q32" s="15"/>
      <c r="R32" s="16"/>
      <c r="S32" s="26" t="s">
        <v>140</v>
      </c>
      <c r="T32" s="28" t="s">
        <v>144</v>
      </c>
      <c r="U32" s="9"/>
      <c r="V32" s="9"/>
      <c r="W32" s="9"/>
      <c r="X32" s="9"/>
    </row>
    <row r="33" spans="2:24">
      <c r="B33" s="26">
        <f t="shared" si="0"/>
        <v>31</v>
      </c>
      <c r="C33" s="17"/>
      <c r="D33" s="22"/>
      <c r="E33" s="18"/>
      <c r="F33" s="23"/>
      <c r="G33" s="15"/>
      <c r="H33" s="27" t="s">
        <v>274</v>
      </c>
      <c r="I33" s="15"/>
      <c r="J33" s="15"/>
      <c r="K33" s="15"/>
      <c r="L33" s="15"/>
      <c r="M33" s="15"/>
      <c r="N33" s="15"/>
      <c r="O33" s="15"/>
      <c r="P33" s="15"/>
      <c r="Q33" s="15"/>
      <c r="R33" s="16"/>
      <c r="S33" s="26" t="s">
        <v>140</v>
      </c>
      <c r="T33" s="28" t="s">
        <v>144</v>
      </c>
      <c r="U33" s="9"/>
      <c r="V33" s="9"/>
      <c r="W33" s="9"/>
      <c r="X33" s="9"/>
    </row>
    <row r="34" spans="2:24">
      <c r="B34" s="26">
        <f t="shared" si="0"/>
        <v>32</v>
      </c>
      <c r="C34" s="17"/>
      <c r="D34" s="22"/>
      <c r="E34" s="18"/>
      <c r="F34" s="23"/>
      <c r="G34" s="15"/>
      <c r="H34" s="27" t="s">
        <v>273</v>
      </c>
      <c r="I34" s="15"/>
      <c r="J34" s="15"/>
      <c r="K34" s="15"/>
      <c r="L34" s="15"/>
      <c r="M34" s="15"/>
      <c r="N34" s="15"/>
      <c r="O34" s="15"/>
      <c r="P34" s="15"/>
      <c r="Q34" s="15"/>
      <c r="R34" s="16"/>
      <c r="S34" s="26" t="s">
        <v>140</v>
      </c>
      <c r="T34" s="28" t="s">
        <v>144</v>
      </c>
      <c r="U34" s="9"/>
      <c r="V34" s="9"/>
      <c r="W34" s="9"/>
      <c r="X34" s="9"/>
    </row>
    <row r="35" spans="2:24">
      <c r="B35" s="26">
        <f t="shared" ref="B35:B51" si="2">ROW()-2</f>
        <v>33</v>
      </c>
      <c r="C35" s="17"/>
      <c r="D35" s="22"/>
      <c r="E35" s="18"/>
      <c r="F35" s="23"/>
      <c r="G35" s="15"/>
      <c r="H35" s="27" t="s">
        <v>272</v>
      </c>
      <c r="I35" s="15"/>
      <c r="J35" s="15"/>
      <c r="K35" s="15"/>
      <c r="L35" s="15"/>
      <c r="M35" s="15"/>
      <c r="N35" s="15"/>
      <c r="O35" s="15"/>
      <c r="P35" s="15"/>
      <c r="Q35" s="15"/>
      <c r="R35" s="16"/>
      <c r="S35" s="26" t="s">
        <v>159</v>
      </c>
      <c r="T35" s="28" t="s">
        <v>144</v>
      </c>
      <c r="U35" s="9"/>
      <c r="V35" s="9"/>
      <c r="W35" s="9"/>
      <c r="X35" s="9"/>
    </row>
    <row r="36" spans="2:24">
      <c r="B36" s="26">
        <f t="shared" si="2"/>
        <v>34</v>
      </c>
      <c r="C36" s="17"/>
      <c r="D36" s="22"/>
      <c r="E36" s="18"/>
      <c r="F36" s="23"/>
      <c r="G36" s="36" t="s">
        <v>150</v>
      </c>
      <c r="H36" s="27" t="s">
        <v>281</v>
      </c>
      <c r="I36" s="15"/>
      <c r="J36" s="15"/>
      <c r="K36" s="15"/>
      <c r="L36" s="15"/>
      <c r="M36" s="15"/>
      <c r="N36" s="15"/>
      <c r="O36" s="15"/>
      <c r="P36" s="15"/>
      <c r="Q36" s="15"/>
      <c r="R36" s="16"/>
      <c r="S36" s="26" t="s">
        <v>140</v>
      </c>
      <c r="T36" s="28" t="s">
        <v>144</v>
      </c>
      <c r="U36" s="9"/>
      <c r="V36" s="9"/>
      <c r="W36" s="9"/>
      <c r="X36" s="9"/>
    </row>
    <row r="37" spans="2:24">
      <c r="B37" s="26">
        <f t="shared" si="2"/>
        <v>35</v>
      </c>
      <c r="C37" s="17"/>
      <c r="D37" s="22"/>
      <c r="E37" s="18"/>
      <c r="F37" s="23"/>
      <c r="G37" s="15"/>
      <c r="H37" s="27" t="s">
        <v>280</v>
      </c>
      <c r="I37" s="15"/>
      <c r="J37" s="15"/>
      <c r="K37" s="15"/>
      <c r="L37" s="15"/>
      <c r="M37" s="15"/>
      <c r="N37" s="15"/>
      <c r="O37" s="15"/>
      <c r="P37" s="15"/>
      <c r="Q37" s="15"/>
      <c r="R37" s="16"/>
      <c r="S37" s="26" t="s">
        <v>140</v>
      </c>
      <c r="T37" s="28" t="s">
        <v>144</v>
      </c>
      <c r="U37" s="9"/>
      <c r="V37" s="9"/>
      <c r="W37" s="9"/>
      <c r="X37" s="9"/>
    </row>
    <row r="38" spans="2:24">
      <c r="B38" s="26">
        <f t="shared" si="2"/>
        <v>36</v>
      </c>
      <c r="C38" s="17"/>
      <c r="D38" s="22"/>
      <c r="E38" s="18"/>
      <c r="F38" s="23"/>
      <c r="G38" s="15"/>
      <c r="H38" s="27" t="s">
        <v>279</v>
      </c>
      <c r="I38" s="15"/>
      <c r="J38" s="15"/>
      <c r="K38" s="15"/>
      <c r="L38" s="15"/>
      <c r="M38" s="15"/>
      <c r="N38" s="15"/>
      <c r="O38" s="15"/>
      <c r="P38" s="15"/>
      <c r="Q38" s="15"/>
      <c r="R38" s="16"/>
      <c r="S38" s="26" t="s">
        <v>140</v>
      </c>
      <c r="T38" s="28" t="s">
        <v>144</v>
      </c>
      <c r="U38" s="9"/>
      <c r="V38" s="9"/>
      <c r="W38" s="9"/>
      <c r="X38" s="9"/>
    </row>
    <row r="39" spans="2:24">
      <c r="B39" s="26">
        <f t="shared" si="2"/>
        <v>37</v>
      </c>
      <c r="C39" s="17"/>
      <c r="D39" s="22"/>
      <c r="E39" s="18"/>
      <c r="F39" s="23"/>
      <c r="G39" s="15"/>
      <c r="H39" s="27" t="s">
        <v>278</v>
      </c>
      <c r="I39" s="15"/>
      <c r="J39" s="15"/>
      <c r="K39" s="15"/>
      <c r="L39" s="15"/>
      <c r="M39" s="15"/>
      <c r="N39" s="15"/>
      <c r="O39" s="15"/>
      <c r="P39" s="15"/>
      <c r="Q39" s="15"/>
      <c r="R39" s="16"/>
      <c r="S39" s="26" t="s">
        <v>159</v>
      </c>
      <c r="T39" s="28" t="s">
        <v>144</v>
      </c>
      <c r="U39" s="9"/>
      <c r="V39" s="9"/>
      <c r="W39" s="9"/>
      <c r="X39" s="9"/>
    </row>
    <row r="40" spans="2:24">
      <c r="B40" s="26">
        <f t="shared" si="2"/>
        <v>38</v>
      </c>
      <c r="C40" s="17"/>
      <c r="D40" s="22"/>
      <c r="E40" s="18"/>
      <c r="F40" s="23"/>
      <c r="G40" s="15"/>
      <c r="H40" s="27" t="s">
        <v>277</v>
      </c>
      <c r="I40" s="15"/>
      <c r="J40" s="15"/>
      <c r="K40" s="15"/>
      <c r="L40" s="15"/>
      <c r="M40" s="15"/>
      <c r="N40" s="15"/>
      <c r="O40" s="15"/>
      <c r="P40" s="15"/>
      <c r="Q40" s="15"/>
      <c r="R40" s="16"/>
      <c r="S40" s="26" t="s">
        <v>140</v>
      </c>
      <c r="T40" s="28" t="s">
        <v>144</v>
      </c>
      <c r="U40" s="9"/>
      <c r="V40" s="9"/>
      <c r="W40" s="9"/>
      <c r="X40" s="9"/>
    </row>
    <row r="41" spans="2:24">
      <c r="B41" s="26">
        <f t="shared" si="2"/>
        <v>39</v>
      </c>
      <c r="C41" s="17"/>
      <c r="D41" s="22"/>
      <c r="E41" s="18"/>
      <c r="F41" s="23"/>
      <c r="G41" s="15"/>
      <c r="H41" s="27" t="s">
        <v>276</v>
      </c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26" t="s">
        <v>140</v>
      </c>
      <c r="T41" s="28" t="s">
        <v>144</v>
      </c>
      <c r="U41" s="9"/>
      <c r="V41" s="9"/>
      <c r="W41" s="9"/>
      <c r="X41" s="9"/>
    </row>
    <row r="42" spans="2:24">
      <c r="B42" s="26">
        <f t="shared" si="2"/>
        <v>40</v>
      </c>
      <c r="C42" s="17"/>
      <c r="D42" s="22"/>
      <c r="E42" s="18"/>
      <c r="F42" s="23"/>
      <c r="G42" s="15"/>
      <c r="H42" s="27" t="s">
        <v>275</v>
      </c>
      <c r="I42" s="15"/>
      <c r="J42" s="15"/>
      <c r="K42" s="15"/>
      <c r="L42" s="15"/>
      <c r="M42" s="15"/>
      <c r="N42" s="15"/>
      <c r="O42" s="15"/>
      <c r="P42" s="15"/>
      <c r="Q42" s="15"/>
      <c r="R42" s="16"/>
      <c r="S42" s="26" t="s">
        <v>140</v>
      </c>
      <c r="T42" s="28" t="s">
        <v>144</v>
      </c>
      <c r="U42" s="9"/>
      <c r="V42" s="9"/>
      <c r="W42" s="9"/>
      <c r="X42" s="9"/>
    </row>
    <row r="43" spans="2:24">
      <c r="B43" s="26">
        <f t="shared" si="2"/>
        <v>41</v>
      </c>
      <c r="C43" s="17"/>
      <c r="D43" s="22"/>
      <c r="E43" s="18"/>
      <c r="F43" s="23"/>
      <c r="G43" s="15"/>
      <c r="H43" s="27" t="s">
        <v>274</v>
      </c>
      <c r="I43" s="15"/>
      <c r="J43" s="15"/>
      <c r="K43" s="15"/>
      <c r="L43" s="15"/>
      <c r="M43" s="15"/>
      <c r="N43" s="15"/>
      <c r="O43" s="15"/>
      <c r="P43" s="15"/>
      <c r="Q43" s="15"/>
      <c r="R43" s="16"/>
      <c r="S43" s="26" t="s">
        <v>140</v>
      </c>
      <c r="T43" s="28" t="s">
        <v>144</v>
      </c>
      <c r="U43" s="9"/>
      <c r="V43" s="9"/>
      <c r="W43" s="9"/>
      <c r="X43" s="9"/>
    </row>
    <row r="44" spans="2:24">
      <c r="B44" s="26">
        <f t="shared" si="2"/>
        <v>42</v>
      </c>
      <c r="C44" s="17"/>
      <c r="D44" s="22"/>
      <c r="E44" s="18"/>
      <c r="F44" s="23"/>
      <c r="G44" s="15"/>
      <c r="H44" s="27" t="s">
        <v>273</v>
      </c>
      <c r="I44" s="15"/>
      <c r="J44" s="15"/>
      <c r="K44" s="15"/>
      <c r="L44" s="15"/>
      <c r="M44" s="15"/>
      <c r="N44" s="15"/>
      <c r="O44" s="15"/>
      <c r="P44" s="15"/>
      <c r="Q44" s="15"/>
      <c r="R44" s="16"/>
      <c r="S44" s="26" t="s">
        <v>140</v>
      </c>
      <c r="T44" s="28" t="s">
        <v>144</v>
      </c>
      <c r="U44" s="9"/>
      <c r="V44" s="9"/>
      <c r="W44" s="9"/>
      <c r="X44" s="9"/>
    </row>
    <row r="45" spans="2:24">
      <c r="B45" s="26">
        <f t="shared" si="2"/>
        <v>43</v>
      </c>
      <c r="C45" s="17"/>
      <c r="D45" s="22"/>
      <c r="E45" s="18"/>
      <c r="F45" s="23"/>
      <c r="G45" s="15"/>
      <c r="H45" s="27" t="s">
        <v>272</v>
      </c>
      <c r="I45" s="15"/>
      <c r="J45" s="15"/>
      <c r="K45" s="15"/>
      <c r="L45" s="15"/>
      <c r="M45" s="15"/>
      <c r="N45" s="15"/>
      <c r="O45" s="15"/>
      <c r="P45" s="15"/>
      <c r="Q45" s="15"/>
      <c r="R45" s="16"/>
      <c r="S45" s="26" t="s">
        <v>159</v>
      </c>
      <c r="T45" s="28" t="s">
        <v>144</v>
      </c>
      <c r="U45" s="9"/>
      <c r="V45" s="9"/>
      <c r="W45" s="9"/>
      <c r="X45" s="9"/>
    </row>
    <row r="46" spans="2:24">
      <c r="B46" s="26">
        <f t="shared" si="2"/>
        <v>44</v>
      </c>
      <c r="C46" s="17"/>
      <c r="D46" s="22"/>
      <c r="E46" s="18"/>
      <c r="F46" s="32" t="s">
        <v>2</v>
      </c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4"/>
      <c r="S46" s="33" t="s">
        <v>143</v>
      </c>
      <c r="T46" s="34" t="s">
        <v>144</v>
      </c>
      <c r="U46" s="25"/>
      <c r="V46" s="25"/>
      <c r="W46" s="25"/>
      <c r="X46" s="25"/>
    </row>
    <row r="47" spans="2:24">
      <c r="B47" s="26">
        <f t="shared" si="2"/>
        <v>45</v>
      </c>
      <c r="C47" s="17"/>
      <c r="D47" s="22"/>
      <c r="E47" s="18"/>
      <c r="F47" s="23"/>
      <c r="G47" s="36" t="s">
        <v>150</v>
      </c>
      <c r="H47" s="27" t="s">
        <v>151</v>
      </c>
      <c r="I47" s="15"/>
      <c r="J47" s="15"/>
      <c r="K47" s="15"/>
      <c r="L47" s="15"/>
      <c r="M47" s="15"/>
      <c r="N47" s="15"/>
      <c r="O47" s="15"/>
      <c r="P47" s="15"/>
      <c r="Q47" s="15"/>
      <c r="R47" s="16"/>
      <c r="S47" s="26" t="s">
        <v>140</v>
      </c>
      <c r="T47" s="28" t="s">
        <v>144</v>
      </c>
      <c r="U47" s="9"/>
      <c r="V47" s="9"/>
      <c r="W47" s="9"/>
      <c r="X47" s="9"/>
    </row>
    <row r="48" spans="2:24">
      <c r="B48" s="26">
        <f t="shared" si="2"/>
        <v>46</v>
      </c>
      <c r="C48" s="17"/>
      <c r="D48" s="22"/>
      <c r="E48" s="18"/>
      <c r="F48" s="23"/>
      <c r="G48" s="15"/>
      <c r="H48" s="27" t="s">
        <v>69</v>
      </c>
      <c r="I48" s="15"/>
      <c r="J48" s="15"/>
      <c r="K48" s="15"/>
      <c r="L48" s="15"/>
      <c r="M48" s="15"/>
      <c r="N48" s="15"/>
      <c r="O48" s="15"/>
      <c r="P48" s="15"/>
      <c r="Q48" s="15"/>
      <c r="R48" s="16"/>
      <c r="S48" s="26" t="s">
        <v>140</v>
      </c>
      <c r="T48" s="28" t="s">
        <v>144</v>
      </c>
      <c r="U48" s="9"/>
      <c r="V48" s="9"/>
      <c r="W48" s="9"/>
      <c r="X48" s="9"/>
    </row>
    <row r="49" spans="2:24">
      <c r="B49" s="26">
        <f t="shared" si="2"/>
        <v>47</v>
      </c>
      <c r="C49" s="17"/>
      <c r="D49" s="22"/>
      <c r="E49" s="18"/>
      <c r="F49" s="23"/>
      <c r="G49" s="36" t="s">
        <v>150</v>
      </c>
      <c r="H49" s="27" t="s">
        <v>151</v>
      </c>
      <c r="I49" s="15"/>
      <c r="J49" s="15"/>
      <c r="K49" s="15"/>
      <c r="L49" s="15"/>
      <c r="M49" s="15"/>
      <c r="N49" s="15"/>
      <c r="O49" s="15"/>
      <c r="P49" s="15"/>
      <c r="Q49" s="15"/>
      <c r="R49" s="16"/>
      <c r="S49" s="26" t="s">
        <v>140</v>
      </c>
      <c r="T49" s="28" t="s">
        <v>144</v>
      </c>
      <c r="U49" s="9"/>
      <c r="V49" s="9"/>
      <c r="W49" s="9"/>
      <c r="X49" s="9"/>
    </row>
    <row r="50" spans="2:24">
      <c r="B50" s="26">
        <f t="shared" si="2"/>
        <v>48</v>
      </c>
      <c r="C50" s="17"/>
      <c r="D50" s="22"/>
      <c r="E50" s="18"/>
      <c r="F50" s="23"/>
      <c r="G50" s="15"/>
      <c r="H50" s="27" t="s">
        <v>69</v>
      </c>
      <c r="I50" s="15"/>
      <c r="J50" s="15"/>
      <c r="K50" s="15"/>
      <c r="L50" s="15"/>
      <c r="M50" s="15"/>
      <c r="N50" s="15"/>
      <c r="O50" s="15"/>
      <c r="P50" s="15"/>
      <c r="Q50" s="15"/>
      <c r="R50" s="16"/>
      <c r="S50" s="26" t="s">
        <v>140</v>
      </c>
      <c r="T50" s="28" t="s">
        <v>144</v>
      </c>
      <c r="U50" s="9"/>
      <c r="V50" s="9"/>
      <c r="W50" s="9"/>
      <c r="X50" s="9"/>
    </row>
    <row r="51" spans="2:24">
      <c r="B51" s="26">
        <f t="shared" si="2"/>
        <v>49</v>
      </c>
      <c r="C51" s="17"/>
      <c r="D51" s="22"/>
      <c r="E51" s="18"/>
      <c r="F51" s="27" t="s">
        <v>157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6"/>
      <c r="S51" s="26" t="s">
        <v>140</v>
      </c>
      <c r="T51" s="28" t="s">
        <v>144</v>
      </c>
      <c r="U51" s="9"/>
      <c r="V51" s="9" t="s">
        <v>258</v>
      </c>
      <c r="W51" s="9" t="s">
        <v>258</v>
      </c>
      <c r="X51" s="9" t="s">
        <v>258</v>
      </c>
    </row>
  </sheetData>
  <phoneticPr fontId="1"/>
  <hyperlinks>
    <hyperlink ref="T4" r:id="rId1" tooltip="http://docs.aws.amazon.com/AWSCloudFormation/latest/UserGuide/aws-properties-ec2-security-group.html" xr:uid="{44190756-8714-4347-B1C7-2D822A300FD2}"/>
    <hyperlink ref="T6" r:id="rId2" location="cfn-ec2-securitygroup-groupdescription" tooltip="http://docs.aws.amazon.com/AWSCloudFormation/latest/UserGuide/aws-properties-ec2-security-group.html#cfn-ec2-securitygroup-groupdescription" xr:uid="{A9A5C6E5-6AAE-4BE3-BC05-5D1FEB6B28A3}"/>
    <hyperlink ref="T7" r:id="rId3" location="cfn-ec2-securitygroup-groupname" tooltip="http://docs.aws.amazon.com/AWSCloudFormation/latest/UserGuide/aws-properties-ec2-security-group.html#cfn-ec2-securitygroup-groupname" xr:uid="{93A21892-5AB8-4BE7-B17D-684CAF6F934B}"/>
    <hyperlink ref="T8" r:id="rId4" location="cfn-ec2-securitygroup-securitygroupegress" tooltip="http://docs.aws.amazon.com/AWSCloudFormation/latest/UserGuide/aws-properties-ec2-security-group.html#cfn-ec2-securitygroup-securitygroupegress" xr:uid="{62EB1FC7-8B85-4C28-BDA0-62ED317C12A8}"/>
    <hyperlink ref="T9" r:id="rId5" location="cfn-ec2-security-group-rule-cidrip" tooltip="http://docs.aws.amazon.com/AWSCloudFormation/latest/UserGuide/aws-properties-ec2-security-group-rule.html#cfn-ec2-security-group-rule-cidrip" xr:uid="{D6AFFFCD-0578-4326-9A83-D97524BD5393}"/>
    <hyperlink ref="T10" r:id="rId6" location="cfn-ec2-security-group-rule-cidripv6" tooltip="http://docs.aws.amazon.com/AWSCloudFormation/latest/UserGuide/aws-properties-ec2-security-group-rule.html#cfn-ec2-security-group-rule-cidripv6" xr:uid="{30834624-4B98-4C20-889C-3E2A49A69C95}"/>
    <hyperlink ref="T11" r:id="rId7" location="cfn-ec2-security-group-rule-description" tooltip="http://docs.aws.amazon.com/AWSCloudFormation/latest/UserGuide/aws-properties-ec2-security-group-rule.html#cfn-ec2-security-group-rule-description" xr:uid="{7066DE72-FAB2-47EA-9930-DDF6CC212468}"/>
    <hyperlink ref="T12" r:id="rId8" location="cfn-ec2-security-group-rule-destinationprefixlistid" tooltip="http://docs.aws.amazon.com/AWSCloudFormation/latest/UserGuide/aws-properties-ec2-security-group-rule.html#cfn-ec2-security-group-rule-destinationprefixlistid" xr:uid="{A2EE940A-4745-4DF2-9302-0C33C5980C82}"/>
    <hyperlink ref="T13" r:id="rId9" location="cfn-ec2-security-group-rule-destsecgroupid" tooltip="http://docs.aws.amazon.com/AWSCloudFormation/latest/UserGuide/aws-properties-ec2-security-group-rule.html#cfn-ec2-security-group-rule-destsecgroupid" xr:uid="{7CF0BB81-36A0-4985-ACD5-5406B99F3D3B}"/>
    <hyperlink ref="T14" r:id="rId10" location="cfn-ec2-security-group-rule-fromport" tooltip="http://docs.aws.amazon.com/AWSCloudFormation/latest/UserGuide/aws-properties-ec2-security-group-rule.html#cfn-ec2-security-group-rule-fromport" xr:uid="{713410D4-DC44-4FF4-9F16-E01986A1B3E6}"/>
    <hyperlink ref="T15" r:id="rId11" location="cfn-ec2-security-group-rule-ipprotocol" tooltip="http://docs.aws.amazon.com/AWSCloudFormation/latest/UserGuide/aws-properties-ec2-security-group-rule.html#cfn-ec2-security-group-rule-ipprotocol" xr:uid="{3C626DC5-EB39-4F7C-B125-27CFB4B23DE5}"/>
    <hyperlink ref="T16" r:id="rId12" location="cfn-ec2-security-group-rule-toport" tooltip="http://docs.aws.amazon.com/AWSCloudFormation/latest/UserGuide/aws-properties-ec2-security-group-rule.html#cfn-ec2-security-group-rule-toport" xr:uid="{EF052C70-D996-45C0-BD03-8EF24EF0092E}"/>
    <hyperlink ref="T17" r:id="rId13" location="cfn-ec2-security-group-rule-cidrip" tooltip="http://docs.aws.amazon.com/AWSCloudFormation/latest/UserGuide/aws-properties-ec2-security-group-rule.html#cfn-ec2-security-group-rule-cidrip" xr:uid="{7E3AB838-F18F-4271-9009-C956A5F8E1F2}"/>
    <hyperlink ref="T18" r:id="rId14" location="cfn-ec2-security-group-rule-cidripv6" tooltip="http://docs.aws.amazon.com/AWSCloudFormation/latest/UserGuide/aws-properties-ec2-security-group-rule.html#cfn-ec2-security-group-rule-cidripv6" xr:uid="{93702CC6-153D-4A6C-A2D4-147371B161FB}"/>
    <hyperlink ref="T19" r:id="rId15" location="cfn-ec2-security-group-rule-description" tooltip="http://docs.aws.amazon.com/AWSCloudFormation/latest/UserGuide/aws-properties-ec2-security-group-rule.html#cfn-ec2-security-group-rule-description" xr:uid="{83C62D4F-8DDF-485D-AEAF-B84D61B4B8D1}"/>
    <hyperlink ref="T20" r:id="rId16" location="cfn-ec2-security-group-rule-destinationprefixlistid" tooltip="http://docs.aws.amazon.com/AWSCloudFormation/latest/UserGuide/aws-properties-ec2-security-group-rule.html#cfn-ec2-security-group-rule-destinationprefixlistid" xr:uid="{B0170292-4822-410C-B94D-BEAE78703E4E}"/>
    <hyperlink ref="T21" r:id="rId17" location="cfn-ec2-security-group-rule-destsecgroupid" tooltip="http://docs.aws.amazon.com/AWSCloudFormation/latest/UserGuide/aws-properties-ec2-security-group-rule.html#cfn-ec2-security-group-rule-destsecgroupid" xr:uid="{03CBCD08-E0B3-46D3-9E54-B6215B332C13}"/>
    <hyperlink ref="T22" r:id="rId18" location="cfn-ec2-security-group-rule-fromport" tooltip="http://docs.aws.amazon.com/AWSCloudFormation/latest/UserGuide/aws-properties-ec2-security-group-rule.html#cfn-ec2-security-group-rule-fromport" xr:uid="{2C40D15E-4713-49DC-8C46-85DBDB4C9E7A}"/>
    <hyperlink ref="T23" r:id="rId19" location="cfn-ec2-security-group-rule-ipprotocol" tooltip="http://docs.aws.amazon.com/AWSCloudFormation/latest/UserGuide/aws-properties-ec2-security-group-rule.html#cfn-ec2-security-group-rule-ipprotocol" xr:uid="{BAAEA058-375C-43EB-9D46-375471E89FFF}"/>
    <hyperlink ref="T24" r:id="rId20" location="cfn-ec2-security-group-rule-toport" tooltip="http://docs.aws.amazon.com/AWSCloudFormation/latest/UserGuide/aws-properties-ec2-security-group-rule.html#cfn-ec2-security-group-rule-toport" xr:uid="{43BC6106-CFB0-4363-A5E5-F84813B9170D}"/>
    <hyperlink ref="T25" r:id="rId21" location="cfn-ec2-securitygroup-securitygroupingress" tooltip="http://docs.aws.amazon.com/AWSCloudFormation/latest/UserGuide/aws-properties-ec2-security-group.html#cfn-ec2-securitygroup-securitygroupingress" xr:uid="{04B717E2-3AAB-4D43-BC48-2BE7FB23E188}"/>
    <hyperlink ref="T26" r:id="rId22" location="cfn-ec2-security-group-rule-cidrip" tooltip="http://docs.aws.amazon.com/AWSCloudFormation/latest/UserGuide/aws-properties-ec2-security-group-rule.html#cfn-ec2-security-group-rule-cidrip" xr:uid="{AE4EAB68-99CD-4591-BA98-E4C07E2B6C4F}"/>
    <hyperlink ref="T27" r:id="rId23" location="cfn-ec2-security-group-rule-cidripv6" tooltip="http://docs.aws.amazon.com/AWSCloudFormation/latest/UserGuide/aws-properties-ec2-security-group-rule.html#cfn-ec2-security-group-rule-cidripv6" xr:uid="{461A83AC-0779-4BDE-8C04-30D679F3E491}"/>
    <hyperlink ref="T28" r:id="rId24" location="cfn-ec2-security-group-rule-description" tooltip="http://docs.aws.amazon.com/AWSCloudFormation/latest/UserGuide/aws-properties-ec2-security-group-rule.html#cfn-ec2-security-group-rule-description" xr:uid="{3F9FEC00-1341-4D77-BBCD-82354EB617A8}"/>
    <hyperlink ref="T29" r:id="rId25" location="cfn-ec2-security-group-rule-fromport" tooltip="http://docs.aws.amazon.com/AWSCloudFormation/latest/UserGuide/aws-properties-ec2-security-group-rule.html#cfn-ec2-security-group-rule-fromport" xr:uid="{9533B80C-6185-4F0C-A05A-8BDB243F11BD}"/>
    <hyperlink ref="T30" r:id="rId26" location="cfn-ec2-security-group-rule-ipprotocol" tooltip="http://docs.aws.amazon.com/AWSCloudFormation/latest/UserGuide/aws-properties-ec2-security-group-rule.html#cfn-ec2-security-group-rule-ipprotocol" xr:uid="{1AC9D3BC-4ACD-48C8-B195-9B159A28FB01}"/>
    <hyperlink ref="T31" r:id="rId27" location="cfn-ec2-securitygroup-ingress-sourceprefixlistid" tooltip="http://docs.aws.amazon.com/AWSCloudFormation/latest/UserGuide/aws-properties-ec2-security-group-rule.html#cfn-ec2-securitygroup-ingress-sourceprefixlistid" xr:uid="{BD2950AD-8ABB-4310-9A4F-F1E47C45F8BC}"/>
    <hyperlink ref="T32" r:id="rId28" location="cfn-ec2-security-group-rule-sourcesecuritygroupid" tooltip="http://docs.aws.amazon.com/AWSCloudFormation/latest/UserGuide/aws-properties-ec2-security-group-rule.html#cfn-ec2-security-group-rule-sourcesecuritygroupid" xr:uid="{25C4849D-C594-48F0-823E-89B1D16417B1}"/>
    <hyperlink ref="T33" r:id="rId29" location="cfn-ec2-security-group-rule-sourcesecuritygroupname" tooltip="http://docs.aws.amazon.com/AWSCloudFormation/latest/UserGuide/aws-properties-ec2-security-group-rule.html#cfn-ec2-security-group-rule-sourcesecuritygroupname" xr:uid="{9754DCC6-E90B-4878-9FA3-A2B003BC3B6D}"/>
    <hyperlink ref="T34" r:id="rId30" location="cfn-ec2-security-group-rule-sourcesecuritygroupownerid" tooltip="http://docs.aws.amazon.com/AWSCloudFormation/latest/UserGuide/aws-properties-ec2-security-group-rule.html#cfn-ec2-security-group-rule-sourcesecuritygroupownerid" xr:uid="{DF60689B-ED4B-4EAA-A6A7-26CC0808D007}"/>
    <hyperlink ref="T35" r:id="rId31" location="cfn-ec2-security-group-rule-toport" tooltip="http://docs.aws.amazon.com/AWSCloudFormation/latest/UserGuide/aws-properties-ec2-security-group-rule.html#cfn-ec2-security-group-rule-toport" xr:uid="{03469024-EF41-43B0-9174-51249C265DDF}"/>
    <hyperlink ref="T36" r:id="rId32" location="cfn-ec2-security-group-rule-cidrip" tooltip="http://docs.aws.amazon.com/AWSCloudFormation/latest/UserGuide/aws-properties-ec2-security-group-rule.html#cfn-ec2-security-group-rule-cidrip" xr:uid="{5729787B-614A-41C7-B613-7065F044ED34}"/>
    <hyperlink ref="T37" r:id="rId33" location="cfn-ec2-security-group-rule-cidripv6" tooltip="http://docs.aws.amazon.com/AWSCloudFormation/latest/UserGuide/aws-properties-ec2-security-group-rule.html#cfn-ec2-security-group-rule-cidripv6" xr:uid="{41957AE2-8EFB-4460-B7CC-9B135A77515F}"/>
    <hyperlink ref="T38" r:id="rId34" location="cfn-ec2-security-group-rule-description" tooltip="http://docs.aws.amazon.com/AWSCloudFormation/latest/UserGuide/aws-properties-ec2-security-group-rule.html#cfn-ec2-security-group-rule-description" xr:uid="{A4BFD15D-529A-44CD-BE8A-3886A75BEF02}"/>
    <hyperlink ref="T39" r:id="rId35" location="cfn-ec2-security-group-rule-fromport" tooltip="http://docs.aws.amazon.com/AWSCloudFormation/latest/UserGuide/aws-properties-ec2-security-group-rule.html#cfn-ec2-security-group-rule-fromport" xr:uid="{BDFE4391-A764-4E6A-B60F-598935AC14FB}"/>
    <hyperlink ref="T40" r:id="rId36" location="cfn-ec2-security-group-rule-ipprotocol" tooltip="http://docs.aws.amazon.com/AWSCloudFormation/latest/UserGuide/aws-properties-ec2-security-group-rule.html#cfn-ec2-security-group-rule-ipprotocol" xr:uid="{425029F2-701B-47A7-8ED5-04F009999089}"/>
    <hyperlink ref="T41" r:id="rId37" location="cfn-ec2-securitygroup-ingress-sourceprefixlistid" tooltip="http://docs.aws.amazon.com/AWSCloudFormation/latest/UserGuide/aws-properties-ec2-security-group-rule.html#cfn-ec2-securitygroup-ingress-sourceprefixlistid" xr:uid="{C36D28EA-01C4-40D2-96A3-23555E1B28C3}"/>
    <hyperlink ref="T42" r:id="rId38" location="cfn-ec2-security-group-rule-sourcesecuritygroupid" tooltip="http://docs.aws.amazon.com/AWSCloudFormation/latest/UserGuide/aws-properties-ec2-security-group-rule.html#cfn-ec2-security-group-rule-sourcesecuritygroupid" xr:uid="{5A6D3AF8-6ED8-41AA-AB71-3E6FC100014B}"/>
    <hyperlink ref="T43" r:id="rId39" location="cfn-ec2-security-group-rule-sourcesecuritygroupname" tooltip="http://docs.aws.amazon.com/AWSCloudFormation/latest/UserGuide/aws-properties-ec2-security-group-rule.html#cfn-ec2-security-group-rule-sourcesecuritygroupname" xr:uid="{0B227D06-1D0C-4392-A402-82855C11BBE2}"/>
    <hyperlink ref="T44" r:id="rId40" location="cfn-ec2-security-group-rule-sourcesecuritygroupownerid" tooltip="http://docs.aws.amazon.com/AWSCloudFormation/latest/UserGuide/aws-properties-ec2-security-group-rule.html#cfn-ec2-security-group-rule-sourcesecuritygroupownerid" xr:uid="{0D960939-F81E-4002-BA4F-4D1621169554}"/>
    <hyperlink ref="T45" r:id="rId41" location="cfn-ec2-security-group-rule-toport" tooltip="http://docs.aws.amazon.com/AWSCloudFormation/latest/UserGuide/aws-properties-ec2-security-group-rule.html#cfn-ec2-security-group-rule-toport" xr:uid="{8FFEF9C2-EE35-4761-BB61-8E896BD870AC}"/>
    <hyperlink ref="T46" r:id="rId42" location="cfn-ec2-securitygroup-tags" tooltip="http://docs.aws.amazon.com/AWSCloudFormation/latest/UserGuide/aws-properties-ec2-security-group.html#cfn-ec2-securitygroup-tags" xr:uid="{94DA7232-3F0E-4474-83F2-CFD8083A695C}"/>
    <hyperlink ref="T47" r:id="rId43" location="cfn-resource-tags-key" tooltip="http://docs.aws.amazon.com/AWSCloudFormation/latest/UserGuide/aws-properties-resource-tags.html#cfn-resource-tags-key" xr:uid="{9983C3C7-F720-42C6-B504-53F33E4AEB47}"/>
    <hyperlink ref="T48" r:id="rId44" location="cfn-resource-tags-value" tooltip="http://docs.aws.amazon.com/AWSCloudFormation/latest/UserGuide/aws-properties-resource-tags.html#cfn-resource-tags-value" xr:uid="{630DE46B-BE3E-49A2-83EC-068A5740800D}"/>
    <hyperlink ref="T49" r:id="rId45" location="cfn-resource-tags-key" tooltip="http://docs.aws.amazon.com/AWSCloudFormation/latest/UserGuide/aws-properties-resource-tags.html#cfn-resource-tags-key" xr:uid="{09729E0A-03A6-4C08-A7C2-9FBA4A5EBC9E}"/>
    <hyperlink ref="T50" r:id="rId46" location="cfn-resource-tags-value" tooltip="http://docs.aws.amazon.com/AWSCloudFormation/latest/UserGuide/aws-properties-resource-tags.html#cfn-resource-tags-value" xr:uid="{03772665-00BD-4CFF-A709-BDA8223A534F}"/>
    <hyperlink ref="T51" r:id="rId47" location="cfn-ec2-securitygroup-vpcid" tooltip="http://docs.aws.amazon.com/AWSCloudFormation/latest/UserGuide/aws-properties-ec2-security-group.html#cfn-ec2-securitygroup-vpcid" xr:uid="{14B856F5-AFCF-40E0-A070-B9FC101788C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Resources</vt:lpstr>
      <vt:lpstr>Setting</vt:lpstr>
      <vt:lpstr>ExternalValue</vt:lpstr>
      <vt:lpstr>CreatingResource</vt:lpstr>
      <vt:lpstr>VPC</vt:lpstr>
      <vt:lpstr>InternetGateway</vt:lpstr>
      <vt:lpstr>VPCGatewayAttachment</vt:lpstr>
      <vt:lpstr>DHCPOptions</vt:lpstr>
      <vt:lpstr>VPCDHCPOptionsAssociation</vt:lpstr>
      <vt:lpstr>Subnet</vt:lpstr>
      <vt:lpstr>RouteTable</vt:lpstr>
      <vt:lpstr>Route</vt:lpstr>
      <vt:lpstr>SubnetRouteTableAssociation</vt:lpstr>
      <vt:lpstr>NetworkAcl</vt:lpstr>
      <vt:lpstr>NetworkAclEntry</vt:lpstr>
      <vt:lpstr>SubnetNetworkAclAssociation</vt:lpstr>
      <vt:lpstr>SecurityGroup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2021-10-24T10:11:56Z</dcterms:modified>
</cp:coreProperties>
</file>